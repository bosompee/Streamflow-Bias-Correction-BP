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nsas-my.sharepoint.com/personal/p739b253_home_ku_edu/Documents/FEWtures/Manuscript2/"/>
    </mc:Choice>
  </mc:AlternateContent>
  <xr:revisionPtr revIDLastSave="592" documentId="8_{A02F28F0-6100-4B61-BEEA-07FC53A11017}" xr6:coauthVersionLast="47" xr6:coauthVersionMax="47" xr10:uidLastSave="{0327694E-2766-4E89-BA8E-105ED5EF6E04}"/>
  <bookViews>
    <workbookView xWindow="-108" yWindow="-108" windowWidth="23256" windowHeight="12576" activeTab="6" xr2:uid="{D4937FB8-0975-4C66-92DD-1883CE61A78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<sst xmlns="http://schemas.openxmlformats.org/spreadsheetml/2006/main" count="351" uniqueCount="154">
  <si>
    <t>Variable</t>
  </si>
  <si>
    <t>Precip</t>
  </si>
  <si>
    <t>DTW</t>
  </si>
  <si>
    <t>VDTW</t>
  </si>
  <si>
    <t>Wdensity</t>
  </si>
  <si>
    <t>DNdensity</t>
  </si>
  <si>
    <t>Acres</t>
  </si>
  <si>
    <t>K</t>
  </si>
  <si>
    <t>Sy</t>
  </si>
  <si>
    <t>Qav</t>
  </si>
  <si>
    <t>Qred</t>
  </si>
  <si>
    <t>VR2</t>
  </si>
  <si>
    <t>Pearson Correlation Coefficient</t>
  </si>
  <si>
    <t>Spearman Correlation Coefficient</t>
  </si>
  <si>
    <t>Kendall Correlation Coefficient</t>
  </si>
  <si>
    <t>Slope</t>
  </si>
  <si>
    <t>I</t>
  </si>
  <si>
    <r>
      <t>R</t>
    </r>
    <r>
      <rPr>
        <vertAlign val="superscript"/>
        <sz val="11"/>
        <color theme="1"/>
        <rFont val="Times New Roman"/>
        <family val="1"/>
      </rPr>
      <t>2</t>
    </r>
  </si>
  <si>
    <r>
      <t>VR</t>
    </r>
    <r>
      <rPr>
        <vertAlign val="superscript"/>
        <sz val="11"/>
        <color theme="1"/>
        <rFont val="Times New Roman"/>
        <family val="1"/>
      </rPr>
      <t>2</t>
    </r>
  </si>
  <si>
    <r>
      <t>R</t>
    </r>
    <r>
      <rPr>
        <vertAlign val="superscript"/>
        <sz val="12"/>
        <color theme="1"/>
        <rFont val="Times New Roman"/>
        <family val="1"/>
      </rPr>
      <t>2</t>
    </r>
  </si>
  <si>
    <r>
      <t>VR</t>
    </r>
    <r>
      <rPr>
        <vertAlign val="superscript"/>
        <sz val="12"/>
        <color theme="1"/>
        <rFont val="Times New Roman"/>
        <family val="1"/>
      </rPr>
      <t>2</t>
    </r>
  </si>
  <si>
    <t xml:space="preserve">Pearson </t>
  </si>
  <si>
    <t xml:space="preserve">Spearman </t>
  </si>
  <si>
    <t xml:space="preserve">Kendall </t>
  </si>
  <si>
    <t>Method</t>
  </si>
  <si>
    <t>VDTW, Acres, Qav, Precip, K</t>
  </si>
  <si>
    <t>Acres, Qav, Precip, K</t>
  </si>
  <si>
    <t>Acres, Qav</t>
  </si>
  <si>
    <t>VR2, VDTW</t>
  </si>
  <si>
    <t>Description</t>
  </si>
  <si>
    <t>Abbreviation</t>
  </si>
  <si>
    <t>Data source</t>
  </si>
  <si>
    <t>Area of HPA within county (km2)</t>
  </si>
  <si>
    <t>AHA</t>
  </si>
  <si>
    <t>Kansas Data Access and Support Center (DASC)</t>
  </si>
  <si>
    <t>Area of alluvial aquifer within county (km2)</t>
  </si>
  <si>
    <t>AAA</t>
  </si>
  <si>
    <t>DTW trend over period of analysis (ft)</t>
  </si>
  <si>
    <t>DTW_trend</t>
  </si>
  <si>
    <t>WIMAS</t>
  </si>
  <si>
    <t>Average annual irrigation application rates (acre-ft per acre)</t>
  </si>
  <si>
    <t xml:space="preserve">Average water use divided by average irrigated area </t>
  </si>
  <si>
    <t>Irr_app</t>
  </si>
  <si>
    <t>Average fraction of pumping from non-agricultural sources</t>
  </si>
  <si>
    <t>Non-agricultural water use per total water use</t>
  </si>
  <si>
    <t>Non_agric</t>
  </si>
  <si>
    <t>Average pre-development saturated thickness (ft)</t>
  </si>
  <si>
    <t>satthick_predev</t>
  </si>
  <si>
    <t>KGS</t>
  </si>
  <si>
    <t>Average current saturated thickness (ft)</t>
  </si>
  <si>
    <t>satthick_current</t>
  </si>
  <si>
    <t>Total DTW Change from pre-development (ft)</t>
  </si>
  <si>
    <t>Difference between average current and pre-development saturated thickness</t>
  </si>
  <si>
    <t>DTW_ch</t>
  </si>
  <si>
    <t>Variance in current saturated thickness (ft2)</t>
  </si>
  <si>
    <t>Vsatthick_current</t>
  </si>
  <si>
    <t>Area of Dakota aquifer (km2)</t>
  </si>
  <si>
    <t>ADA</t>
  </si>
  <si>
    <t>KGS GMD3 model (Liu et al., 2012)</t>
  </si>
  <si>
    <t>Average annual precipitation (m)</t>
  </si>
  <si>
    <t>Prism annual precipitation</t>
  </si>
  <si>
    <t>Average annual depth to water (m)</t>
  </si>
  <si>
    <t>Variance of DTW</t>
  </si>
  <si>
    <t>Well density(km-2)</t>
  </si>
  <si>
    <t>Number of wells per county area</t>
  </si>
  <si>
    <t>Wdenisty</t>
  </si>
  <si>
    <t>Drainage network density (km-1)</t>
  </si>
  <si>
    <t>Total stream length per county area</t>
  </si>
  <si>
    <t>USGS NHM-PRMS</t>
  </si>
  <si>
    <t>Annual average irrigation acres (%)</t>
  </si>
  <si>
    <t>[Irrigated area (acres) per county area (acres)]*100</t>
  </si>
  <si>
    <t>Hydraulic conductivity</t>
  </si>
  <si>
    <t>Hydraulic conductivities for counties in GMD3</t>
  </si>
  <si>
    <t>Specific yield</t>
  </si>
  <si>
    <t>Specific yield for counties in GMD3</t>
  </si>
  <si>
    <t>Average annual pumping (mm)</t>
  </si>
  <si>
    <t>average annual pumping (10^6m3) per county area (m2) in mm</t>
  </si>
  <si>
    <t>Variance of the regression model</t>
  </si>
  <si>
    <t>Link</t>
  </si>
  <si>
    <t>https://geohydro.kgs.ku.edu/geohydro/wimas/</t>
  </si>
  <si>
    <t>Application of the National Hydrologic Model Infrastructure with the Precipitation-Runoff Modeling System (NHM-PRMS), by HRU Calibrated Version - ScienceBase-Catalog</t>
  </si>
  <si>
    <t>WIMAS Disclaimer Acceptance (ku.edu)</t>
  </si>
  <si>
    <t>https://www.kgs.ku.edu/Publications/OFR/2024/OFR2024-14.pdf</t>
  </si>
  <si>
    <t>high_plains_aquifer_extent | Kansas Geoportal</t>
  </si>
  <si>
    <t>Alluvial Aquifer Extent | Kansas Geoportal</t>
  </si>
  <si>
    <t>Parameter</t>
  </si>
  <si>
    <t>Meaning</t>
  </si>
  <si>
    <t>Proportion of variance in groundwater level changes that can be explained by variation in pumping</t>
  </si>
  <si>
    <t>Sensitivity of groundwater level changes to pumping.</t>
  </si>
  <si>
    <t>Quantifies how responsive groundwater levels are to pumping reductions.  This information is crucial for determining the effectiveness of pumping reduction strategies and prioritizing areas that need management policies</t>
  </si>
  <si>
    <t>Indicates the strength and reliability of the linear relationship between pumping and groundwater level change</t>
  </si>
  <si>
    <t>Total amount of water entering
the aquifer from external sources</t>
  </si>
  <si>
    <t>Qred (%)</t>
  </si>
  <si>
    <t>Pumping reduction needed to achieve sustainable groundwater levels</t>
  </si>
  <si>
    <t>An effective management parameter estimated to prevent aquifer depletion (Butler, 2016), (Butler, 2022), (Steward, 2013)</t>
  </si>
  <si>
    <t>Importance</t>
  </si>
  <si>
    <t>R² (Coefficient of Determination)</t>
  </si>
  <si>
    <t>Crucial for determining sustainable pumping rates. It interprets the impact of Qred Butler 2016, 2020)which is vital for assessing aquifer resilience and developing sustainable extraction strategies.</t>
  </si>
  <si>
    <t>DTW_ trend</t>
  </si>
  <si>
    <t>DTW_ ch</t>
  </si>
  <si>
    <t>Non agric</t>
  </si>
  <si>
    <t>Satthick predev</t>
  </si>
  <si>
    <t>Satthick current</t>
  </si>
  <si>
    <t>Vsatthick current</t>
  </si>
  <si>
    <t>r2</t>
  </si>
  <si>
    <t>Hydrogeological characteristics</t>
  </si>
  <si>
    <r>
      <t>Area of alluvial aquifer within county (km</t>
    </r>
    <r>
      <rPr>
        <vertAlign val="superscript"/>
        <sz val="6.6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</si>
  <si>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t>Average water use divided by average irrigated area</t>
  </si>
  <si>
    <t>Total DTW Change from pre-development (ft)</t>
  </si>
  <si>
    <r>
      <t>Variance in current saturated thickness (ft</t>
    </r>
    <r>
      <rPr>
        <vertAlign val="superscript"/>
        <sz val="6.6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</si>
  <si>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r>
      <t>Area of Dakota aquifer (km</t>
    </r>
    <r>
      <rPr>
        <vertAlign val="superscript"/>
        <sz val="6.6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</t>
    </r>
  </si>
  <si>
    <r>
      <t>Well density(km</t>
    </r>
    <r>
      <rPr>
        <vertAlign val="superscript"/>
        <sz val="6.6"/>
        <color rgb="FF000000"/>
        <rFont val="Times New Roman"/>
        <family val="1"/>
      </rPr>
      <t>-2</t>
    </r>
    <r>
      <rPr>
        <sz val="12"/>
        <color rgb="FF000000"/>
        <rFont val="Times New Roman"/>
        <family val="1"/>
      </rPr>
      <t>)</t>
    </r>
  </si>
  <si>
    <r>
      <t>Drainage network density (km</t>
    </r>
    <r>
      <rPr>
        <vertAlign val="superscript"/>
        <sz val="6.6"/>
        <color rgb="FF000000"/>
        <rFont val="Times New Roman"/>
        <family val="1"/>
      </rPr>
      <t>-1</t>
    </r>
    <r>
      <rPr>
        <sz val="12"/>
        <color rgb="FF000000"/>
        <rFont val="Times New Roman"/>
        <family val="1"/>
      </rPr>
      <t>)</t>
    </r>
  </si>
  <si>
    <r>
      <t>average annual pumping (10</t>
    </r>
    <r>
      <rPr>
        <vertAlign val="superscript"/>
        <sz val="6.6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m</t>
    </r>
    <r>
      <rPr>
        <vertAlign val="superscript"/>
        <sz val="6.6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) per county area (m</t>
    </r>
    <r>
      <rPr>
        <vertAlign val="superscript"/>
        <sz val="6.6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) in mm</t>
    </r>
  </si>
  <si>
    <t>NAg</t>
  </si>
  <si>
    <t>STp</t>
  </si>
  <si>
    <t>STc</t>
  </si>
  <si>
    <t>VSTc</t>
  </si>
  <si>
    <t>WD</t>
  </si>
  <si>
    <t>DND</t>
  </si>
  <si>
    <t>PPT</t>
  </si>
  <si>
    <t>IrAp</t>
  </si>
  <si>
    <t>Acr</t>
  </si>
  <si>
    <t>DTWt</t>
  </si>
  <si>
    <t>DTWc</t>
  </si>
  <si>
    <t>county</t>
  </si>
  <si>
    <t>SW</t>
  </si>
  <si>
    <t>SV</t>
  </si>
  <si>
    <t>ME</t>
  </si>
  <si>
    <t>MT</t>
  </si>
  <si>
    <t>KW</t>
  </si>
  <si>
    <t>HS</t>
  </si>
  <si>
    <t>GT</t>
  </si>
  <si>
    <t>ST</t>
  </si>
  <si>
    <t>PR</t>
  </si>
  <si>
    <t>FO</t>
  </si>
  <si>
    <t>GY</t>
  </si>
  <si>
    <t>ED</t>
  </si>
  <si>
    <t>RN</t>
  </si>
  <si>
    <t>SF</t>
  </si>
  <si>
    <t>FI</t>
  </si>
  <si>
    <t>KE</t>
  </si>
  <si>
    <t>HM</t>
  </si>
  <si>
    <t>PN</t>
  </si>
  <si>
    <t>RC</t>
  </si>
  <si>
    <t>BT</t>
  </si>
  <si>
    <t>GWLC_no_of_wells</t>
  </si>
  <si>
    <t>Use_no_of well</t>
  </si>
  <si>
    <t>GMD3</t>
  </si>
  <si>
    <t>GMD5</t>
  </si>
  <si>
    <t>O</t>
  </si>
  <si>
    <t>y</t>
  </si>
  <si>
    <t>GWL_water use</t>
  </si>
  <si>
    <t>Water use_precip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</si>
</sst>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9"/>
      <color rgb="FF000000"/>
      <name val="Courier New"/>
      <family val="3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color rgb="FF000000"/>
      <name val="Times New Roman"/>
      <family val="1"/>
    </font>
    <font>
      <vertAlign val="superscript"/>
      <sz val="6.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7" fillId="0" borderId="0" xfId="0" applyNumberFormat="1" applyFont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2" fontId="5" fillId="0" borderId="2" xfId="0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0" fontId="12" fillId="0" borderId="0" xfId="0" applyFont="1"/>
    <xf numFmtId="0" fontId="12" fillId="0" borderId="0" xfId="1" applyFont="1" applyAlignment="1">
      <alignment vertical="top" wrapText="1"/>
    </xf>
    <xf numFmtId="0" fontId="12" fillId="0" borderId="0" xfId="1" applyFont="1"/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0" xfId="1" applyFont="1" applyBorder="1" applyAlignment="1">
      <alignment vertical="top" wrapText="1"/>
    </xf>
    <xf numFmtId="0" fontId="5" fillId="0" borderId="2" xfId="0" applyFont="1" applyBorder="1" applyAlignment="1">
      <alignment vertical="top"/>
    </xf>
    <xf numFmtId="0" fontId="5" fillId="0" borderId="2" xfId="0" applyFont="1" applyBorder="1" applyAlignment="1">
      <alignment vertical="top" wrapText="1"/>
    </xf>
    <xf numFmtId="0" fontId="9" fillId="0" borderId="3" xfId="0" applyFont="1" applyBorder="1"/>
    <xf numFmtId="0" fontId="7" fillId="0" borderId="0" xfId="0" applyFont="1" applyAlignment="1">
      <alignment horizontal="left" wrapText="1" readingOrder="1"/>
    </xf>
    <xf numFmtId="0" fontId="12" fillId="0" borderId="0" xfId="0" applyFont="1" applyAlignment="1">
      <alignment wrapText="1"/>
    </xf>
    <xf numFmtId="0" fontId="14" fillId="0" borderId="0" xfId="0" applyFont="1" applyAlignment="1">
      <alignment horizontal="center" wrapText="1" readingOrder="1"/>
    </xf>
    <xf numFmtId="0" fontId="12" fillId="0" borderId="1" xfId="0" applyFont="1" applyBorder="1" applyAlignment="1">
      <alignment wrapText="1"/>
    </xf>
    <xf numFmtId="2" fontId="7" fillId="0" borderId="0" xfId="0" applyNumberFormat="1" applyFont="1" applyAlignment="1">
      <alignment horizontal="left" wrapText="1" readingOrder="1"/>
    </xf>
    <xf numFmtId="2" fontId="7" fillId="0" borderId="0" xfId="0" applyNumberFormat="1" applyFont="1" applyAlignment="1">
      <alignment horizontal="left" vertical="center" wrapText="1" readingOrder="1"/>
    </xf>
    <xf numFmtId="2" fontId="13" fillId="0" borderId="0" xfId="0" applyNumberFormat="1" applyFont="1" applyAlignment="1">
      <alignment horizontal="left" wrapText="1" readingOrder="1"/>
    </xf>
    <xf numFmtId="2" fontId="13" fillId="0" borderId="0" xfId="0" applyNumberFormat="1" applyFont="1" applyAlignment="1">
      <alignment horizontal="left" vertical="center" wrapText="1" readingOrder="1"/>
    </xf>
    <xf numFmtId="0" fontId="12" fillId="0" borderId="3" xfId="0" applyFont="1" applyBorder="1" applyAlignment="1">
      <alignment vertical="top" wrapText="1"/>
    </xf>
    <xf numFmtId="0" fontId="14" fillId="0" borderId="3" xfId="0" applyFont="1" applyBorder="1" applyAlignment="1">
      <alignment horizontal="center" wrapText="1" readingOrder="1"/>
    </xf>
    <xf numFmtId="0" fontId="7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10" fillId="0" borderId="6" xfId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0" fillId="0" borderId="0" xfId="1" applyAlignment="1">
      <alignment vertical="center" wrapText="1"/>
    </xf>
    <xf numFmtId="0" fontId="10" fillId="0" borderId="4" xfId="1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Sheet7!$D$1</c:f>
              <c:strCache>
                <c:ptCount val="1"/>
                <c:pt idx="0">
                  <c:v>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Sheet7!$B$2:$B$21</c:f>
              <c:numCache>
                <c:formatCode>General</c:formatCode>
                <c:ptCount val="20"/>
                <c:pt idx="0">
                  <c:v>29</c:v>
                </c:pt>
                <c:pt idx="1">
                  <c:v>34</c:v>
                </c:pt>
                <c:pt idx="2">
                  <c:v>27</c:v>
                </c:pt>
                <c:pt idx="3">
                  <c:v>32</c:v>
                </c:pt>
                <c:pt idx="4">
                  <c:v>35</c:v>
                </c:pt>
                <c:pt idx="5">
                  <c:v>21</c:v>
                </c:pt>
                <c:pt idx="6">
                  <c:v>25</c:v>
                </c:pt>
                <c:pt idx="7">
                  <c:v>27</c:v>
                </c:pt>
                <c:pt idx="8">
                  <c:v>83</c:v>
                </c:pt>
                <c:pt idx="9">
                  <c:v>54</c:v>
                </c:pt>
                <c:pt idx="10">
                  <c:v>33</c:v>
                </c:pt>
                <c:pt idx="11">
                  <c:v>55</c:v>
                </c:pt>
                <c:pt idx="12">
                  <c:v>344</c:v>
                </c:pt>
                <c:pt idx="13">
                  <c:v>110</c:v>
                </c:pt>
                <c:pt idx="14">
                  <c:v>71</c:v>
                </c:pt>
                <c:pt idx="15">
                  <c:v>35</c:v>
                </c:pt>
                <c:pt idx="16">
                  <c:v>30</c:v>
                </c:pt>
                <c:pt idx="17">
                  <c:v>59</c:v>
                </c:pt>
                <c:pt idx="18">
                  <c:v>19</c:v>
                </c:pt>
                <c:pt idx="19">
                  <c:v>36</c:v>
                </c:pt>
              </c:numCache>
            </c:numRef>
          </c:xVal>
          <c:yVal>
            <c:numRef>
              <c:f>Sheet7!$D$2:$D$21</c:f>
              <c:numCache>
                <c:formatCode>General</c:formatCode>
                <c:ptCount val="20"/>
                <c:pt idx="0">
                  <c:v>0.69</c:v>
                </c:pt>
                <c:pt idx="1">
                  <c:v>0.76</c:v>
                </c:pt>
                <c:pt idx="2">
                  <c:v>0.83</c:v>
                </c:pt>
                <c:pt idx="3">
                  <c:v>0.37</c:v>
                </c:pt>
                <c:pt idx="4">
                  <c:v>0.64</c:v>
                </c:pt>
                <c:pt idx="5">
                  <c:v>0.45</c:v>
                </c:pt>
                <c:pt idx="6">
                  <c:v>0.49</c:v>
                </c:pt>
                <c:pt idx="7">
                  <c:v>0.5</c:v>
                </c:pt>
                <c:pt idx="8">
                  <c:v>0.52</c:v>
                </c:pt>
                <c:pt idx="9">
                  <c:v>0.89</c:v>
                </c:pt>
                <c:pt idx="10">
                  <c:v>0.79</c:v>
                </c:pt>
                <c:pt idx="11">
                  <c:v>0.71</c:v>
                </c:pt>
                <c:pt idx="12">
                  <c:v>0.63</c:v>
                </c:pt>
                <c:pt idx="13">
                  <c:v>0.77</c:v>
                </c:pt>
                <c:pt idx="14">
                  <c:v>0.8</c:v>
                </c:pt>
                <c:pt idx="15">
                  <c:v>0.75</c:v>
                </c:pt>
                <c:pt idx="16">
                  <c:v>0.41</c:v>
                </c:pt>
                <c:pt idx="17">
                  <c:v>0.65</c:v>
                </c:pt>
                <c:pt idx="18">
                  <c:v>0.65</c:v>
                </c:pt>
                <c:pt idx="19">
                  <c:v>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D-447D-ADCB-F1742031C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102703"/>
        <c:axId val="90100303"/>
      </c:scatterChart>
      <c:valAx>
        <c:axId val="90102703"/>
        <c:scaling>
          <c:orientation val="minMax"/>
          <c:max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Average number  of GWLC data points per year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0303"/>
        <c:crosses val="autoZero"/>
        <c:crossBetween val="midCat"/>
      </c:valAx>
      <c:valAx>
        <c:axId val="90100303"/>
        <c:scaling>
          <c:orientation val="minMax"/>
          <c:min val="0.3000000000000000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R</a:t>
                </a:r>
                <a:r>
                  <a:rPr lang="en-US" baseline="30000">
                    <a:solidFill>
                      <a:schemeClr val="tx1"/>
                    </a:solidFill>
                  </a:rPr>
                  <a:t>2</a:t>
                </a:r>
                <a:r>
                  <a:rPr lang="en-US">
                    <a:solidFill>
                      <a:schemeClr val="tx1"/>
                    </a:solidFill>
                  </a:rPr>
                  <a:t> 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Sheet7!$D$1</c:f>
              <c:strCache>
                <c:ptCount val="1"/>
                <c:pt idx="0">
                  <c:v>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Sheet7!$C$2:$C$21</c:f>
              <c:numCache>
                <c:formatCode>General</c:formatCode>
                <c:ptCount val="20"/>
                <c:pt idx="0">
                  <c:v>434</c:v>
                </c:pt>
                <c:pt idx="1">
                  <c:v>415</c:v>
                </c:pt>
                <c:pt idx="2">
                  <c:v>432</c:v>
                </c:pt>
                <c:pt idx="3">
                  <c:v>350</c:v>
                </c:pt>
                <c:pt idx="4">
                  <c:v>364</c:v>
                </c:pt>
                <c:pt idx="5">
                  <c:v>361</c:v>
                </c:pt>
                <c:pt idx="6">
                  <c:v>388</c:v>
                </c:pt>
                <c:pt idx="7">
                  <c:v>351</c:v>
                </c:pt>
                <c:pt idx="8">
                  <c:v>333</c:v>
                </c:pt>
                <c:pt idx="9">
                  <c:v>337</c:v>
                </c:pt>
                <c:pt idx="10">
                  <c:v>361</c:v>
                </c:pt>
                <c:pt idx="11">
                  <c:v>340</c:v>
                </c:pt>
                <c:pt idx="12">
                  <c:v>302</c:v>
                </c:pt>
                <c:pt idx="13">
                  <c:v>335</c:v>
                </c:pt>
                <c:pt idx="14">
                  <c:v>409</c:v>
                </c:pt>
                <c:pt idx="15">
                  <c:v>455</c:v>
                </c:pt>
                <c:pt idx="16">
                  <c:v>408</c:v>
                </c:pt>
                <c:pt idx="17">
                  <c:v>290</c:v>
                </c:pt>
                <c:pt idx="18">
                  <c:v>284</c:v>
                </c:pt>
                <c:pt idx="19">
                  <c:v>295</c:v>
                </c:pt>
              </c:numCache>
            </c:numRef>
          </c:xVal>
          <c:yVal>
            <c:numRef>
              <c:f>Sheet7!$D$2:$D$21</c:f>
              <c:numCache>
                <c:formatCode>General</c:formatCode>
                <c:ptCount val="20"/>
                <c:pt idx="0">
                  <c:v>0.69</c:v>
                </c:pt>
                <c:pt idx="1">
                  <c:v>0.76</c:v>
                </c:pt>
                <c:pt idx="2">
                  <c:v>0.83</c:v>
                </c:pt>
                <c:pt idx="3">
                  <c:v>0.37</c:v>
                </c:pt>
                <c:pt idx="4">
                  <c:v>0.64</c:v>
                </c:pt>
                <c:pt idx="5">
                  <c:v>0.45</c:v>
                </c:pt>
                <c:pt idx="6">
                  <c:v>0.49</c:v>
                </c:pt>
                <c:pt idx="7">
                  <c:v>0.5</c:v>
                </c:pt>
                <c:pt idx="8">
                  <c:v>0.52</c:v>
                </c:pt>
                <c:pt idx="9">
                  <c:v>0.89</c:v>
                </c:pt>
                <c:pt idx="10">
                  <c:v>0.79</c:v>
                </c:pt>
                <c:pt idx="11">
                  <c:v>0.71</c:v>
                </c:pt>
                <c:pt idx="12">
                  <c:v>0.63</c:v>
                </c:pt>
                <c:pt idx="13">
                  <c:v>0.77</c:v>
                </c:pt>
                <c:pt idx="14">
                  <c:v>0.8</c:v>
                </c:pt>
                <c:pt idx="15">
                  <c:v>0.75</c:v>
                </c:pt>
                <c:pt idx="16">
                  <c:v>0.41</c:v>
                </c:pt>
                <c:pt idx="17">
                  <c:v>0.65</c:v>
                </c:pt>
                <c:pt idx="18">
                  <c:v>0.65</c:v>
                </c:pt>
                <c:pt idx="19">
                  <c:v>0.84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6-4EE2-A518-E1A063BFB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589951"/>
        <c:axId val="1953595711"/>
      </c:scatterChart>
      <c:valAx>
        <c:axId val="1953589951"/>
        <c:scaling>
          <c:orientation val="minMax"/>
          <c:min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chemeClr val="tx1"/>
                    </a:solidFill>
                  </a:rPr>
                  <a:t>Average number  of pumping data points per year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595711"/>
        <c:crossesAt val="0"/>
        <c:crossBetween val="midCat"/>
        <c:majorUnit val="50"/>
      </c:valAx>
      <c:valAx>
        <c:axId val="1953595711"/>
        <c:scaling>
          <c:orientation val="minMax"/>
          <c:min val="0.3000000000000000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R</a:t>
                </a:r>
                <a:r>
                  <a:rPr lang="en-US" baseline="30000">
                    <a:solidFill>
                      <a:schemeClr val="tx1"/>
                    </a:solidFill>
                  </a:rPr>
                  <a:t>2</a:t>
                </a:r>
                <a:r>
                  <a:rPr lang="en-US" baseline="0">
                    <a:solidFill>
                      <a:schemeClr val="tx1"/>
                    </a:solidFill>
                  </a:rPr>
                  <a:t>  values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589951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4</xdr:row>
      <xdr:rowOff>15240</xdr:rowOff>
    </xdr:from>
    <xdr:to>
      <xdr:col>19</xdr:col>
      <xdr:colOff>220980</xdr:colOff>
      <xdr:row>19</xdr:row>
      <xdr:rowOff>41910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74B96CED-40AE-E439-FD7E-2DAE4EE175B9}"/>
            </a:ext>
          </a:extLst>
        </xdr:cNvPr>
        <xdr:cNvGrpSpPr/>
      </xdr:nvGrpSpPr>
      <xdr:grpSpPr>
        <a:xfrm>
          <a:off x="2575560" y="746760"/>
          <a:ext cx="9227820" cy="2769870"/>
          <a:chOff x="2575560" y="746760"/>
          <a:chExt cx="9227820" cy="276987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D986B26C-7056-7774-30AB-1FC582B07225}"/>
              </a:ext>
            </a:extLst>
          </xdr:cNvPr>
          <xdr:cNvGraphicFramePr/>
        </xdr:nvGraphicFramePr>
        <xdr:xfrm>
          <a:off x="2575560" y="77343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122EC5F9-4627-9517-8173-C15DE9AE77C6}"/>
              </a:ext>
            </a:extLst>
          </xdr:cNvPr>
          <xdr:cNvGraphicFramePr/>
        </xdr:nvGraphicFramePr>
        <xdr:xfrm>
          <a:off x="7231380" y="74676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eohydro.kgs.ku.edu/geohydro/wimas/" TargetMode="External"/><Relationship Id="rId13" Type="http://schemas.openxmlformats.org/officeDocument/2006/relationships/hyperlink" Target="https://geohydro.kgs.ku.edu/geohydro/wimas/" TargetMode="External"/><Relationship Id="rId3" Type="http://schemas.openxmlformats.org/officeDocument/2006/relationships/hyperlink" Target="https://geohydro.kgs.ku.edu/geohydro/wimas/" TargetMode="External"/><Relationship Id="rId7" Type="http://schemas.openxmlformats.org/officeDocument/2006/relationships/hyperlink" Target="https://geohydro.kgs.ku.edu/geohydro/wimas/" TargetMode="External"/><Relationship Id="rId12" Type="http://schemas.openxmlformats.org/officeDocument/2006/relationships/hyperlink" Target="https://hub.kansasgis.org/datasets/KU::high-plains-aquifer/explore?layer=0&amp;location=38.430635%2C-99.690618%2C7.28" TargetMode="External"/><Relationship Id="rId2" Type="http://schemas.openxmlformats.org/officeDocument/2006/relationships/hyperlink" Target="https://www.sciencebase.gov/catalog/item/5a4ea3bee4b0d05ee8c6647b" TargetMode="External"/><Relationship Id="rId1" Type="http://schemas.openxmlformats.org/officeDocument/2006/relationships/hyperlink" Target="https://geohydro.kgs.ku.edu/geohydro/wimas/" TargetMode="External"/><Relationship Id="rId6" Type="http://schemas.openxmlformats.org/officeDocument/2006/relationships/hyperlink" Target="https://geohydro.kgs.ku.edu/geohydro/wimas/" TargetMode="External"/><Relationship Id="rId11" Type="http://schemas.openxmlformats.org/officeDocument/2006/relationships/hyperlink" Target="https://hub.kansasgis.org/datasets/463dffb49c3d4687bc66b416c27cd2d4_0/explore?location=38.397098%2C-98.319498%2C7.09" TargetMode="External"/><Relationship Id="rId5" Type="http://schemas.openxmlformats.org/officeDocument/2006/relationships/hyperlink" Target="https://geohydro.kgs.ku.edu/geohydro/wimas/" TargetMode="External"/><Relationship Id="rId10" Type="http://schemas.openxmlformats.org/officeDocument/2006/relationships/hyperlink" Target="https://geohydro.kgs.ku.edu/geohydro/wimas/" TargetMode="External"/><Relationship Id="rId4" Type="http://schemas.openxmlformats.org/officeDocument/2006/relationships/hyperlink" Target="https://geohydro.kgs.ku.edu/geohydro/wimas/" TargetMode="External"/><Relationship Id="rId9" Type="http://schemas.openxmlformats.org/officeDocument/2006/relationships/hyperlink" Target="https://geohydro.kgs.ku.edu/geohydro/wimas/" TargetMode="External"/><Relationship Id="rId1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geohydro.kgs.ku.edu/geohydro/wimas/" TargetMode="External"/><Relationship Id="rId13" Type="http://schemas.openxmlformats.org/officeDocument/2006/relationships/hyperlink" Target="https://geohydro.kgs.ku.edu/geohydro/wimas/" TargetMode="External"/><Relationship Id="rId3" Type="http://schemas.openxmlformats.org/officeDocument/2006/relationships/hyperlink" Target="https://geohydro.kgs.ku.edu/geohydro/wimas/" TargetMode="External"/><Relationship Id="rId7" Type="http://schemas.openxmlformats.org/officeDocument/2006/relationships/hyperlink" Target="https://geohydro.kgs.ku.edu/geohydro/wimas/" TargetMode="External"/><Relationship Id="rId12" Type="http://schemas.openxmlformats.org/officeDocument/2006/relationships/hyperlink" Target="https://geohydro.kgs.ku.edu/geohydro/wimas/" TargetMode="External"/><Relationship Id="rId2" Type="http://schemas.openxmlformats.org/officeDocument/2006/relationships/hyperlink" Target="https://hub.kansasgis.org/datasets/463dffb49c3d4687bc66b416c27cd2d4_0/explore?location=38.397098%2C-98.319498%2C7.09" TargetMode="External"/><Relationship Id="rId1" Type="http://schemas.openxmlformats.org/officeDocument/2006/relationships/hyperlink" Target="https://hub.kansasgis.org/datasets/KU::high-plains-aquifer/explore?layer=0&amp;location=38.430635%2C-99.690618%2C7.28" TargetMode="External"/><Relationship Id="rId6" Type="http://schemas.openxmlformats.org/officeDocument/2006/relationships/hyperlink" Target="https://geohydro.kgs.ku.edu/geohydro/wimas/" TargetMode="External"/><Relationship Id="rId11" Type="http://schemas.openxmlformats.org/officeDocument/2006/relationships/hyperlink" Target="https://www.sciencebase.gov/catalog/item/5a4ea3bee4b0d05ee8c6647b" TargetMode="External"/><Relationship Id="rId5" Type="http://schemas.openxmlformats.org/officeDocument/2006/relationships/hyperlink" Target="https://geohydro.kgs.ku.edu/geohydro/wimas/" TargetMode="External"/><Relationship Id="rId10" Type="http://schemas.openxmlformats.org/officeDocument/2006/relationships/hyperlink" Target="https://geohydro.kgs.ku.edu/geohydro/wimas/" TargetMode="External"/><Relationship Id="rId4" Type="http://schemas.openxmlformats.org/officeDocument/2006/relationships/hyperlink" Target="https://geohydro.kgs.ku.edu/geohydro/wimas/" TargetMode="External"/><Relationship Id="rId9" Type="http://schemas.openxmlformats.org/officeDocument/2006/relationships/hyperlink" Target="https://geohydro.kgs.ku.edu/geohydro/wimas/" TargetMode="External"/><Relationship Id="rId14" Type="http://schemas.openxmlformats.org/officeDocument/2006/relationships/hyperlink" Target="https://geohydro.kgs.ku.edu/geohydro/wimas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5F0B-D6BD-47E1-AA02-6812A93202CC}">
  <dimension ref="A2:J16"/>
  <sheetViews>
    <sheetView zoomScaleNormal="100" workbookViewId="0">
      <selection sqref="A1:J14"/>
    </sheetView>
  </sheetViews>
  <sheetFormatPr defaultRowHeight="14.4" x14ac:dyDescent="0.3"/>
  <cols>
    <col min="1" max="1" width="9.6640625" customWidth="1"/>
    <col min="2" max="2" width="11.5546875" customWidth="1"/>
    <col min="3" max="3" width="10.88671875" customWidth="1"/>
    <col min="4" max="5" width="11.6640625" customWidth="1"/>
    <col min="6" max="6" width="11.109375" customWidth="1"/>
    <col min="7" max="7" width="12.5546875" customWidth="1"/>
    <col min="8" max="8" width="11.6640625" customWidth="1"/>
    <col min="9" max="10" width="11.44140625" customWidth="1"/>
  </cols>
  <sheetData>
    <row r="2" spans="1:10" ht="17.399999999999999" x14ac:dyDescent="0.3">
      <c r="A2" s="3"/>
      <c r="B2" s="53" t="s">
        <v>17</v>
      </c>
      <c r="C2" s="53"/>
      <c r="D2" s="53"/>
      <c r="E2" s="53" t="s">
        <v>15</v>
      </c>
      <c r="F2" s="53"/>
      <c r="G2" s="53"/>
      <c r="H2" s="53" t="s">
        <v>16</v>
      </c>
      <c r="I2" s="53"/>
      <c r="J2" s="53"/>
    </row>
    <row r="3" spans="1:10" ht="55.2" x14ac:dyDescent="0.3">
      <c r="A3" s="5" t="s">
        <v>0</v>
      </c>
      <c r="B3" s="5" t="s">
        <v>12</v>
      </c>
      <c r="C3" s="5" t="s">
        <v>13</v>
      </c>
      <c r="D3" s="5" t="s">
        <v>14</v>
      </c>
      <c r="E3" s="5" t="s">
        <v>12</v>
      </c>
      <c r="F3" s="5" t="s">
        <v>13</v>
      </c>
      <c r="G3" s="5" t="s">
        <v>14</v>
      </c>
      <c r="H3" s="5" t="s">
        <v>12</v>
      </c>
      <c r="I3" s="5" t="s">
        <v>13</v>
      </c>
      <c r="J3" s="5" t="s">
        <v>14</v>
      </c>
    </row>
    <row r="4" spans="1:10" x14ac:dyDescent="0.3">
      <c r="A4" s="6" t="s">
        <v>1</v>
      </c>
      <c r="B4" s="7">
        <v>0.29763223999999999</v>
      </c>
      <c r="C4" s="4">
        <v>0.31966909999999998</v>
      </c>
      <c r="D4" s="4">
        <v>0.19525129999999999</v>
      </c>
      <c r="E4" s="4">
        <v>-1.7424200000000001E-2</v>
      </c>
      <c r="F4" s="4">
        <v>-0.1346878</v>
      </c>
      <c r="G4" s="4">
        <v>-8.4657270000000007E-2</v>
      </c>
      <c r="H4" s="3">
        <v>-8.2575770000000007E-2</v>
      </c>
      <c r="I4" s="3">
        <v>-7.5216249999999997E-4</v>
      </c>
      <c r="J4" s="3">
        <v>-5.2770630000000002E-3</v>
      </c>
    </row>
    <row r="5" spans="1:10" x14ac:dyDescent="0.3">
      <c r="A5" s="6" t="s">
        <v>2</v>
      </c>
      <c r="B5" s="7">
        <v>-0.17615945</v>
      </c>
      <c r="C5" s="4">
        <v>-0.14968029999999999</v>
      </c>
      <c r="D5" s="4">
        <v>-0.1002642</v>
      </c>
      <c r="E5" s="4">
        <v>6.0892340000000003E-2</v>
      </c>
      <c r="F5" s="4">
        <v>0.1158766</v>
      </c>
      <c r="G5" s="4">
        <v>6.3492950000000006E-2</v>
      </c>
      <c r="H5" s="3">
        <v>-0.35563660000000002</v>
      </c>
      <c r="I5" s="3">
        <v>-0.212862</v>
      </c>
      <c r="J5" s="3">
        <v>-0.14248069999999999</v>
      </c>
    </row>
    <row r="6" spans="1:10" x14ac:dyDescent="0.3">
      <c r="A6" s="6" t="s">
        <v>3</v>
      </c>
      <c r="B6" s="7">
        <v>-0.51388038000000003</v>
      </c>
      <c r="C6" s="4">
        <v>-0.27754800000000002</v>
      </c>
      <c r="D6" s="4">
        <v>-0.16358900000000001</v>
      </c>
      <c r="E6" s="4">
        <v>0.50954149999999998</v>
      </c>
      <c r="F6" s="4">
        <v>0.39729130000000001</v>
      </c>
      <c r="G6" s="4">
        <v>0.31746479999999999</v>
      </c>
      <c r="H6" s="3">
        <v>6.8730540000000007E-2</v>
      </c>
      <c r="I6" s="3">
        <v>-0.26250469999999998</v>
      </c>
      <c r="J6" s="3">
        <v>-0.18469720000000001</v>
      </c>
    </row>
    <row r="7" spans="1:10" x14ac:dyDescent="0.3">
      <c r="A7" s="6" t="s">
        <v>4</v>
      </c>
      <c r="B7" s="7">
        <v>0.17593212999999999</v>
      </c>
      <c r="C7" s="4">
        <v>0.2331704</v>
      </c>
      <c r="D7" s="4">
        <v>0.1530348</v>
      </c>
      <c r="E7" s="4">
        <v>-0.35589559999999998</v>
      </c>
      <c r="F7" s="4">
        <v>-0.47479320000000003</v>
      </c>
      <c r="G7" s="4">
        <v>-0.31746479999999999</v>
      </c>
      <c r="H7" s="3">
        <v>-0.17761189999999999</v>
      </c>
      <c r="I7" s="3">
        <v>2.933434E-2</v>
      </c>
      <c r="J7" s="3">
        <v>6.8601819999999994E-2</v>
      </c>
    </row>
    <row r="8" spans="1:10" x14ac:dyDescent="0.3">
      <c r="A8" s="6" t="s">
        <v>5</v>
      </c>
      <c r="B8" s="7">
        <v>6.080986E-2</v>
      </c>
      <c r="C8" s="4">
        <v>3.8360289999999998E-2</v>
      </c>
      <c r="D8" s="4">
        <v>1.5831189999999998E-2</v>
      </c>
      <c r="E8" s="4">
        <v>-9.089266E-2</v>
      </c>
      <c r="F8" s="4">
        <v>-0.1151242</v>
      </c>
      <c r="G8" s="4">
        <v>-0.1058216</v>
      </c>
      <c r="H8" s="3">
        <v>3.3576259999999997E-2</v>
      </c>
      <c r="I8" s="3">
        <v>7.5216249999999998E-2</v>
      </c>
      <c r="J8" s="3">
        <v>7.9155950000000003E-2</v>
      </c>
    </row>
    <row r="9" spans="1:10" x14ac:dyDescent="0.3">
      <c r="A9" s="6" t="s">
        <v>6</v>
      </c>
      <c r="B9" s="7">
        <v>-0.42528146</v>
      </c>
      <c r="C9" s="4">
        <v>-0.43625429999999998</v>
      </c>
      <c r="D9" s="4">
        <v>-0.30079260000000002</v>
      </c>
      <c r="E9" s="4">
        <v>0.21011189999999999</v>
      </c>
      <c r="F9" s="4">
        <v>0.2400302</v>
      </c>
      <c r="G9" s="8">
        <v>0.12698590000000001</v>
      </c>
      <c r="H9" s="3">
        <v>-0.41456229999999999</v>
      </c>
      <c r="I9" s="3">
        <v>-0.2534788</v>
      </c>
      <c r="J9" s="3">
        <v>-0.18469720000000001</v>
      </c>
    </row>
    <row r="10" spans="1:10" x14ac:dyDescent="0.3">
      <c r="A10" s="6" t="s">
        <v>7</v>
      </c>
      <c r="B10" s="7">
        <v>-0.30279299999999998</v>
      </c>
      <c r="C10" s="4">
        <v>-0.29728749999999998</v>
      </c>
      <c r="D10" s="4">
        <v>-0.18667259999999999</v>
      </c>
      <c r="E10" s="4">
        <v>0.1556005</v>
      </c>
      <c r="F10" s="4">
        <v>0.1236337</v>
      </c>
      <c r="G10" s="8">
        <v>0.11764869999999999</v>
      </c>
      <c r="H10" s="3">
        <v>-0.29672939999999998</v>
      </c>
      <c r="I10" s="3">
        <v>-0.15146970000000001</v>
      </c>
      <c r="J10" s="3">
        <v>-0.1333376</v>
      </c>
    </row>
    <row r="11" spans="1:10" x14ac:dyDescent="0.3">
      <c r="A11" s="6" t="s">
        <v>8</v>
      </c>
      <c r="B11" s="7">
        <v>0.1845996</v>
      </c>
      <c r="C11" s="4">
        <v>0.24001529999999999</v>
      </c>
      <c r="D11" s="4">
        <v>0.20800669999999999</v>
      </c>
      <c r="E11" s="4">
        <v>0.16601930000000001</v>
      </c>
      <c r="F11" s="4">
        <v>0.1093103</v>
      </c>
      <c r="G11" s="8">
        <v>8.5562719999999995E-2</v>
      </c>
      <c r="H11" s="3">
        <v>-0.1676011</v>
      </c>
      <c r="I11" s="3">
        <v>7.6865199999999995E-2</v>
      </c>
      <c r="J11" s="3">
        <v>5.8668539999999998E-2</v>
      </c>
    </row>
    <row r="12" spans="1:10" x14ac:dyDescent="0.3">
      <c r="A12" s="6" t="s">
        <v>9</v>
      </c>
      <c r="B12" s="7">
        <v>-0.38117250000000003</v>
      </c>
      <c r="C12" s="4">
        <v>-0.39638960000000001</v>
      </c>
      <c r="D12" s="4">
        <v>-0.29023850000000001</v>
      </c>
      <c r="E12" s="4">
        <v>2.8988179999999999E-2</v>
      </c>
      <c r="F12" s="4">
        <v>7.825435E-2</v>
      </c>
      <c r="G12" s="8">
        <v>5.2910789999999999E-2</v>
      </c>
      <c r="H12" s="3">
        <v>-6.4973420000000004E-2</v>
      </c>
      <c r="I12" s="3">
        <v>-8.2737880000000007E-3</v>
      </c>
      <c r="J12" s="3">
        <v>-1.5831189999999998E-2</v>
      </c>
    </row>
    <row r="13" spans="1:10" x14ac:dyDescent="0.3">
      <c r="A13" s="6" t="s">
        <v>10</v>
      </c>
      <c r="B13" s="7">
        <v>-0.17221244999999999</v>
      </c>
      <c r="C13" s="4">
        <v>-7.2959759999999999E-2</v>
      </c>
      <c r="D13" s="4">
        <v>-4.7493569999999999E-2</v>
      </c>
      <c r="E13" s="4">
        <v>0.25918819999999998</v>
      </c>
      <c r="F13" s="4">
        <v>0.2483071</v>
      </c>
      <c r="G13" s="8">
        <v>0.17989669999999999</v>
      </c>
      <c r="H13" s="3">
        <v>-0.51042359999999998</v>
      </c>
      <c r="I13" s="3">
        <v>-0.4520497</v>
      </c>
      <c r="J13" s="3">
        <v>-0.332455</v>
      </c>
    </row>
    <row r="14" spans="1:10" ht="16.8" x14ac:dyDescent="0.3">
      <c r="A14" s="6" t="s">
        <v>18</v>
      </c>
      <c r="B14" s="7">
        <v>-0.25317057999999998</v>
      </c>
      <c r="C14" s="4">
        <v>-0.22414439999999999</v>
      </c>
      <c r="D14" s="4">
        <v>-0.1741431</v>
      </c>
      <c r="E14" s="4">
        <v>-0.65480229999999995</v>
      </c>
      <c r="F14" s="4">
        <v>-0.7080514</v>
      </c>
      <c r="G14" s="8">
        <v>-0.53969009999999995</v>
      </c>
      <c r="H14" s="3">
        <v>3.2880960000000001E-2</v>
      </c>
      <c r="I14" s="3">
        <v>-0.1677322</v>
      </c>
      <c r="J14" s="3">
        <v>-0.1319266</v>
      </c>
    </row>
    <row r="15" spans="1:10" x14ac:dyDescent="0.3">
      <c r="G15" s="1"/>
    </row>
    <row r="16" spans="1:10" x14ac:dyDescent="0.3">
      <c r="G16" s="2"/>
    </row>
  </sheetData>
  <mergeCells count="3">
    <mergeCell ref="B2:D2"/>
    <mergeCell ref="E2:G2"/>
    <mergeCell ref="H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689E-5047-4D35-AB1B-0334C7C7230D}">
  <dimension ref="B2:P13"/>
  <sheetViews>
    <sheetView workbookViewId="0">
      <selection activeCell="B17" sqref="B17"/>
    </sheetView>
  </sheetViews>
  <sheetFormatPr defaultRowHeight="14.4" x14ac:dyDescent="0.3"/>
  <cols>
    <col min="3" max="3" width="9.6640625" bestFit="1" customWidth="1"/>
    <col min="4" max="4" width="6.5546875" customWidth="1"/>
    <col min="5" max="5" width="6.77734375" bestFit="1" customWidth="1"/>
    <col min="6" max="6" width="7.21875" bestFit="1" customWidth="1"/>
    <col min="7" max="7" width="9.33203125" bestFit="1" customWidth="1"/>
    <col min="8" max="8" width="10.33203125" customWidth="1"/>
    <col min="9" max="9" width="6.21875" bestFit="1" customWidth="1"/>
    <col min="10" max="10" width="6.77734375" bestFit="1" customWidth="1"/>
    <col min="11" max="14" width="5.6640625" bestFit="1" customWidth="1"/>
    <col min="16" max="16" width="43.5546875" customWidth="1"/>
  </cols>
  <sheetData>
    <row r="2" spans="2:16" ht="31.2" x14ac:dyDescent="0.3">
      <c r="B2" s="9"/>
      <c r="C2" s="10" t="s">
        <v>24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1" t="s">
        <v>9</v>
      </c>
      <c r="M2" s="11" t="s">
        <v>10</v>
      </c>
      <c r="N2" s="11" t="s">
        <v>20</v>
      </c>
    </row>
    <row r="3" spans="2:16" ht="18.600000000000001" customHeight="1" x14ac:dyDescent="0.3">
      <c r="B3" s="54" t="s">
        <v>19</v>
      </c>
      <c r="C3" s="10" t="s">
        <v>21</v>
      </c>
      <c r="D3" s="18">
        <v>0.29763223999999999</v>
      </c>
      <c r="E3" s="18">
        <v>-0.17615945</v>
      </c>
      <c r="F3" s="18">
        <v>-0.51388038000000003</v>
      </c>
      <c r="G3" s="18">
        <v>0.17593212999999999</v>
      </c>
      <c r="H3" s="18">
        <v>6.080986E-2</v>
      </c>
      <c r="I3" s="18">
        <v>-0.42528146</v>
      </c>
      <c r="J3" s="18">
        <v>-0.30279299999999998</v>
      </c>
      <c r="K3" s="18">
        <v>0.1845996</v>
      </c>
      <c r="L3" s="18">
        <v>-0.38117250000000003</v>
      </c>
      <c r="M3" s="18">
        <v>-0.17221244999999999</v>
      </c>
      <c r="N3" s="18">
        <v>-0.25317057999999998</v>
      </c>
      <c r="P3" t="s">
        <v>25</v>
      </c>
    </row>
    <row r="4" spans="2:16" ht="15.6" x14ac:dyDescent="0.3">
      <c r="B4" s="55"/>
      <c r="C4" s="12" t="s">
        <v>22</v>
      </c>
      <c r="D4" s="13">
        <v>0.31966909999999998</v>
      </c>
      <c r="E4" s="13">
        <v>-0.14968029999999999</v>
      </c>
      <c r="F4" s="13">
        <v>-0.27754800000000002</v>
      </c>
      <c r="G4" s="13">
        <v>0.2331704</v>
      </c>
      <c r="H4" s="13">
        <v>3.8360289999999998E-2</v>
      </c>
      <c r="I4" s="13">
        <v>-0.43625429999999998</v>
      </c>
      <c r="J4" s="13">
        <v>-0.29728749999999998</v>
      </c>
      <c r="K4" s="13">
        <v>0.24001529999999999</v>
      </c>
      <c r="L4" s="13">
        <v>-0.39638960000000001</v>
      </c>
      <c r="M4" s="13">
        <v>-7.2959759999999999E-2</v>
      </c>
      <c r="N4" s="13">
        <v>-0.22414439999999999</v>
      </c>
      <c r="P4" t="s">
        <v>26</v>
      </c>
    </row>
    <row r="5" spans="2:16" ht="15.6" x14ac:dyDescent="0.3">
      <c r="B5" s="55"/>
      <c r="C5" s="12" t="s">
        <v>23</v>
      </c>
      <c r="D5" s="13">
        <v>0.19525129999999999</v>
      </c>
      <c r="E5" s="13">
        <v>-0.1002642</v>
      </c>
      <c r="F5" s="13">
        <v>-0.16358900000000001</v>
      </c>
      <c r="G5" s="13">
        <v>0.1530348</v>
      </c>
      <c r="H5" s="13">
        <v>1.5831189999999998E-2</v>
      </c>
      <c r="I5" s="13">
        <v>-0.30079260000000002</v>
      </c>
      <c r="J5" s="13">
        <v>-0.18667259999999999</v>
      </c>
      <c r="K5" s="13">
        <v>0.20800669999999999</v>
      </c>
      <c r="L5" s="13">
        <v>-0.29023850000000001</v>
      </c>
      <c r="M5" s="13">
        <v>-4.7493569999999999E-2</v>
      </c>
      <c r="N5" s="13">
        <v>-0.1741431</v>
      </c>
      <c r="P5" t="s">
        <v>27</v>
      </c>
    </row>
    <row r="6" spans="2:16" ht="15.6" x14ac:dyDescent="0.3">
      <c r="B6" s="14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2:16" ht="15.6" x14ac:dyDescent="0.3">
      <c r="B7" s="55" t="s">
        <v>15</v>
      </c>
      <c r="C7" s="12" t="s">
        <v>21</v>
      </c>
      <c r="D7" s="13">
        <v>-1.7424200000000001E-2</v>
      </c>
      <c r="E7" s="13">
        <v>6.0892340000000003E-2</v>
      </c>
      <c r="F7" s="13">
        <v>0.50954149999999998</v>
      </c>
      <c r="G7" s="13">
        <v>-0.35589559999999998</v>
      </c>
      <c r="H7" s="13">
        <v>-9.089266E-2</v>
      </c>
      <c r="I7" s="13">
        <v>0.21011189999999999</v>
      </c>
      <c r="J7" s="13">
        <v>0.1556005</v>
      </c>
      <c r="K7" s="13">
        <v>0.16601930000000001</v>
      </c>
      <c r="L7" s="13">
        <v>2.8988179999999999E-2</v>
      </c>
      <c r="M7" s="13">
        <v>0.25918819999999998</v>
      </c>
      <c r="N7" s="13">
        <v>-0.65480229999999995</v>
      </c>
      <c r="P7" t="s">
        <v>28</v>
      </c>
    </row>
    <row r="8" spans="2:16" ht="15.6" x14ac:dyDescent="0.3">
      <c r="B8" s="55"/>
      <c r="C8" s="12" t="s">
        <v>22</v>
      </c>
      <c r="D8" s="13">
        <v>-0.1346878</v>
      </c>
      <c r="E8" s="13">
        <v>0.1158766</v>
      </c>
      <c r="F8" s="13">
        <v>0.39729130000000001</v>
      </c>
      <c r="G8" s="13">
        <v>-0.47479320000000003</v>
      </c>
      <c r="H8" s="13">
        <v>-0.1151242</v>
      </c>
      <c r="I8" s="13">
        <v>0.2400302</v>
      </c>
      <c r="J8" s="13">
        <v>0.1236337</v>
      </c>
      <c r="K8" s="13">
        <v>0.1093103</v>
      </c>
      <c r="L8" s="13">
        <v>7.825435E-2</v>
      </c>
      <c r="M8" s="13">
        <v>0.2483071</v>
      </c>
      <c r="N8" s="13">
        <v>-0.7080514</v>
      </c>
      <c r="P8" t="s">
        <v>11</v>
      </c>
    </row>
    <row r="9" spans="2:16" ht="15.6" x14ac:dyDescent="0.3">
      <c r="B9" s="55"/>
      <c r="C9" s="12" t="s">
        <v>23</v>
      </c>
      <c r="D9" s="13">
        <v>-8.4657270000000007E-2</v>
      </c>
      <c r="E9" s="13">
        <v>6.3492950000000006E-2</v>
      </c>
      <c r="F9" s="13">
        <v>0.31746479999999999</v>
      </c>
      <c r="G9" s="13">
        <v>-0.31746479999999999</v>
      </c>
      <c r="H9" s="13">
        <v>-0.1058216</v>
      </c>
      <c r="I9" s="15">
        <v>0.12698590000000001</v>
      </c>
      <c r="J9" s="15">
        <v>0.11764869999999999</v>
      </c>
      <c r="K9" s="15">
        <v>8.5562719999999995E-2</v>
      </c>
      <c r="L9" s="15">
        <v>5.2910789999999999E-2</v>
      </c>
      <c r="M9" s="15">
        <v>0.17989669999999999</v>
      </c>
      <c r="N9" s="15">
        <v>-0.53969009999999995</v>
      </c>
      <c r="P9" t="s">
        <v>11</v>
      </c>
    </row>
    <row r="10" spans="2:16" ht="15.6" x14ac:dyDescent="0.3">
      <c r="B10" s="14"/>
      <c r="C10" s="12"/>
      <c r="D10" s="13"/>
      <c r="E10" s="13"/>
      <c r="F10" s="13"/>
      <c r="G10" s="13"/>
      <c r="H10" s="13"/>
      <c r="I10" s="15"/>
      <c r="J10" s="15"/>
      <c r="K10" s="15"/>
      <c r="L10" s="15"/>
      <c r="M10" s="15"/>
      <c r="N10" s="15"/>
    </row>
    <row r="11" spans="2:16" ht="15.6" x14ac:dyDescent="0.3">
      <c r="B11" s="55" t="s">
        <v>16</v>
      </c>
      <c r="C11" s="12" t="s">
        <v>21</v>
      </c>
      <c r="D11" s="13">
        <v>-8.2575770000000007E-2</v>
      </c>
      <c r="E11" s="13">
        <v>-0.35563660000000002</v>
      </c>
      <c r="F11" s="13">
        <v>6.8730540000000007E-2</v>
      </c>
      <c r="G11" s="13">
        <v>-0.17761189999999999</v>
      </c>
      <c r="H11" s="13">
        <v>3.3576259999999997E-2</v>
      </c>
      <c r="I11" s="13">
        <v>-0.41456229999999999</v>
      </c>
      <c r="J11" s="13">
        <v>-0.29672939999999998</v>
      </c>
      <c r="K11" s="13">
        <v>-0.1676011</v>
      </c>
      <c r="L11" s="13">
        <v>-6.4973420000000004E-2</v>
      </c>
      <c r="M11" s="13">
        <v>-0.51042359999999998</v>
      </c>
      <c r="N11" s="13">
        <v>3.2880960000000001E-2</v>
      </c>
      <c r="P11" t="s">
        <v>10</v>
      </c>
    </row>
    <row r="12" spans="2:16" ht="15.6" x14ac:dyDescent="0.3">
      <c r="B12" s="55"/>
      <c r="C12" s="12" t="s">
        <v>22</v>
      </c>
      <c r="D12" s="13">
        <v>-7.5216249999999997E-4</v>
      </c>
      <c r="E12" s="13">
        <v>-0.212862</v>
      </c>
      <c r="F12" s="13">
        <v>-0.26250469999999998</v>
      </c>
      <c r="G12" s="13">
        <v>2.933434E-2</v>
      </c>
      <c r="H12" s="13">
        <v>7.5216249999999998E-2</v>
      </c>
      <c r="I12" s="13">
        <v>-0.2534788</v>
      </c>
      <c r="J12" s="13">
        <v>-0.15146970000000001</v>
      </c>
      <c r="K12" s="13">
        <v>7.6865199999999995E-2</v>
      </c>
      <c r="L12" s="13">
        <v>-8.2737880000000007E-3</v>
      </c>
      <c r="M12" s="13">
        <v>-0.4520497</v>
      </c>
      <c r="N12" s="13">
        <v>-0.1677322</v>
      </c>
    </row>
    <row r="13" spans="2:16" ht="15.6" x14ac:dyDescent="0.3">
      <c r="B13" s="56"/>
      <c r="C13" s="16" t="s">
        <v>23</v>
      </c>
      <c r="D13" s="17">
        <v>-5.2770630000000002E-3</v>
      </c>
      <c r="E13" s="17">
        <v>-0.14248069999999999</v>
      </c>
      <c r="F13" s="17">
        <v>-0.18469720000000001</v>
      </c>
      <c r="G13" s="17">
        <v>6.8601819999999994E-2</v>
      </c>
      <c r="H13" s="17">
        <v>7.9155950000000003E-2</v>
      </c>
      <c r="I13" s="17">
        <v>-0.18469720000000001</v>
      </c>
      <c r="J13" s="17">
        <v>-0.1333376</v>
      </c>
      <c r="K13" s="17">
        <v>5.8668539999999998E-2</v>
      </c>
      <c r="L13" s="17">
        <v>-1.5831189999999998E-2</v>
      </c>
      <c r="M13" s="17">
        <v>-0.332455</v>
      </c>
      <c r="N13" s="17">
        <v>-0.1319266</v>
      </c>
    </row>
  </sheetData>
  <mergeCells count="3">
    <mergeCell ref="B3:B5"/>
    <mergeCell ref="B7:B9"/>
    <mergeCell ref="B11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2676-7916-4DC5-B8D9-C8EAF5CA23E9}">
  <dimension ref="B1:H21"/>
  <sheetViews>
    <sheetView workbookViewId="0">
      <selection activeCell="A22" sqref="A22"/>
    </sheetView>
  </sheetViews>
  <sheetFormatPr defaultRowHeight="15.6" x14ac:dyDescent="0.3"/>
  <cols>
    <col min="1" max="1" width="8.88671875" style="22"/>
    <col min="2" max="2" width="30.109375" style="22" customWidth="1"/>
    <col min="3" max="3" width="20.88671875" style="22" customWidth="1"/>
    <col min="4" max="4" width="13.21875" style="22" bestFit="1" customWidth="1"/>
    <col min="5" max="5" width="18.21875" style="22" customWidth="1"/>
    <col min="6" max="6" width="22" style="22" customWidth="1"/>
    <col min="7" max="16384" width="8.88671875" style="22"/>
  </cols>
  <sheetData>
    <row r="1" spans="2:6" x14ac:dyDescent="0.3">
      <c r="B1" s="26"/>
      <c r="C1" s="26"/>
      <c r="D1" s="26"/>
      <c r="E1" s="26"/>
      <c r="F1" s="26"/>
    </row>
    <row r="2" spans="2:6" x14ac:dyDescent="0.3">
      <c r="B2" s="25" t="s">
        <v>105</v>
      </c>
      <c r="C2" s="25" t="s">
        <v>29</v>
      </c>
      <c r="D2" s="25" t="s">
        <v>30</v>
      </c>
      <c r="E2" s="25" t="s">
        <v>31</v>
      </c>
      <c r="F2" s="25" t="s">
        <v>78</v>
      </c>
    </row>
    <row r="3" spans="2:6" ht="46.2" customHeight="1" x14ac:dyDescent="0.3">
      <c r="B3" s="21" t="s">
        <v>35</v>
      </c>
      <c r="C3" s="21"/>
      <c r="D3" s="21" t="s">
        <v>36</v>
      </c>
      <c r="E3" s="21" t="s">
        <v>34</v>
      </c>
      <c r="F3" s="23" t="s">
        <v>84</v>
      </c>
    </row>
    <row r="4" spans="2:6" ht="46.8" customHeight="1" x14ac:dyDescent="0.3">
      <c r="B4" s="21" t="s">
        <v>32</v>
      </c>
      <c r="C4" s="21"/>
      <c r="D4" s="21" t="s">
        <v>33</v>
      </c>
      <c r="E4" s="21" t="s">
        <v>34</v>
      </c>
      <c r="F4" s="23" t="s">
        <v>83</v>
      </c>
    </row>
    <row r="5" spans="2:6" ht="31.2" x14ac:dyDescent="0.3">
      <c r="B5" s="21" t="s">
        <v>56</v>
      </c>
      <c r="C5" s="21"/>
      <c r="D5" s="21" t="s">
        <v>57</v>
      </c>
      <c r="E5" s="21" t="s">
        <v>58</v>
      </c>
      <c r="F5" s="21"/>
    </row>
    <row r="6" spans="2:6" ht="46.8" x14ac:dyDescent="0.3">
      <c r="B6" s="21" t="s">
        <v>69</v>
      </c>
      <c r="C6" s="21" t="s">
        <v>70</v>
      </c>
      <c r="D6" s="21" t="s">
        <v>122</v>
      </c>
      <c r="E6" s="21" t="s">
        <v>39</v>
      </c>
      <c r="F6" s="23" t="s">
        <v>81</v>
      </c>
    </row>
    <row r="7" spans="2:6" ht="31.2" x14ac:dyDescent="0.3">
      <c r="B7" s="21" t="s">
        <v>61</v>
      </c>
      <c r="C7" s="21"/>
      <c r="D7" s="21" t="s">
        <v>2</v>
      </c>
      <c r="E7" s="21" t="s">
        <v>39</v>
      </c>
      <c r="F7" s="23" t="s">
        <v>81</v>
      </c>
    </row>
    <row r="8" spans="2:6" ht="31.2" x14ac:dyDescent="0.3">
      <c r="B8" s="21" t="s">
        <v>37</v>
      </c>
      <c r="C8" s="21"/>
      <c r="D8" s="21" t="s">
        <v>123</v>
      </c>
      <c r="E8" s="21" t="s">
        <v>39</v>
      </c>
      <c r="F8" s="23" t="s">
        <v>81</v>
      </c>
    </row>
    <row r="9" spans="2:6" ht="62.4" x14ac:dyDescent="0.3">
      <c r="B9" s="21" t="s">
        <v>51</v>
      </c>
      <c r="C9" s="21" t="s">
        <v>52</v>
      </c>
      <c r="D9" s="21" t="s">
        <v>124</v>
      </c>
      <c r="E9" s="21" t="s">
        <v>39</v>
      </c>
      <c r="F9" s="23" t="s">
        <v>81</v>
      </c>
    </row>
    <row r="10" spans="2:6" ht="31.2" x14ac:dyDescent="0.3">
      <c r="B10" s="21" t="s">
        <v>62</v>
      </c>
      <c r="C10" s="21"/>
      <c r="D10" s="21" t="s">
        <v>3</v>
      </c>
      <c r="E10" s="21" t="s">
        <v>39</v>
      </c>
      <c r="F10" s="23" t="s">
        <v>81</v>
      </c>
    </row>
    <row r="11" spans="2:6" ht="62.4" x14ac:dyDescent="0.3">
      <c r="B11" s="21" t="s">
        <v>75</v>
      </c>
      <c r="C11" s="21" t="s">
        <v>76</v>
      </c>
      <c r="D11" s="21" t="s">
        <v>9</v>
      </c>
      <c r="E11" s="21" t="s">
        <v>39</v>
      </c>
      <c r="F11" s="23" t="s">
        <v>81</v>
      </c>
    </row>
    <row r="12" spans="2:6" ht="46.8" x14ac:dyDescent="0.3">
      <c r="B12" s="21" t="s">
        <v>40</v>
      </c>
      <c r="C12" s="21" t="s">
        <v>41</v>
      </c>
      <c r="D12" s="21" t="s">
        <v>121</v>
      </c>
      <c r="E12" s="21" t="s">
        <v>39</v>
      </c>
      <c r="F12" s="23" t="s">
        <v>81</v>
      </c>
    </row>
    <row r="13" spans="2:6" ht="33" customHeight="1" x14ac:dyDescent="0.3">
      <c r="B13" s="21" t="s">
        <v>43</v>
      </c>
      <c r="C13" s="21" t="s">
        <v>44</v>
      </c>
      <c r="D13" s="21" t="s">
        <v>114</v>
      </c>
      <c r="E13" s="21" t="s">
        <v>39</v>
      </c>
      <c r="F13" s="23" t="s">
        <v>81</v>
      </c>
    </row>
    <row r="14" spans="2:6" ht="46.8" x14ac:dyDescent="0.3">
      <c r="B14" s="21" t="s">
        <v>46</v>
      </c>
      <c r="C14" s="21"/>
      <c r="D14" s="21" t="s">
        <v>115</v>
      </c>
      <c r="E14" s="21" t="s">
        <v>48</v>
      </c>
      <c r="F14" s="23" t="s">
        <v>82</v>
      </c>
    </row>
    <row r="15" spans="2:6" ht="46.8" x14ac:dyDescent="0.3">
      <c r="B15" s="21" t="s">
        <v>49</v>
      </c>
      <c r="C15" s="21"/>
      <c r="D15" s="21" t="s">
        <v>116</v>
      </c>
      <c r="E15" s="21" t="s">
        <v>48</v>
      </c>
      <c r="F15" s="23" t="s">
        <v>82</v>
      </c>
    </row>
    <row r="16" spans="2:6" ht="46.8" x14ac:dyDescent="0.3">
      <c r="B16" s="21" t="s">
        <v>54</v>
      </c>
      <c r="C16" s="21"/>
      <c r="D16" s="21" t="s">
        <v>117</v>
      </c>
      <c r="E16" s="21" t="s">
        <v>48</v>
      </c>
      <c r="F16" s="23" t="s">
        <v>82</v>
      </c>
    </row>
    <row r="17" spans="2:8" ht="31.2" x14ac:dyDescent="0.3">
      <c r="B17" s="21" t="s">
        <v>63</v>
      </c>
      <c r="C17" s="21" t="s">
        <v>64</v>
      </c>
      <c r="D17" s="21" t="s">
        <v>118</v>
      </c>
      <c r="E17" s="21" t="s">
        <v>39</v>
      </c>
      <c r="F17" s="23" t="s">
        <v>81</v>
      </c>
    </row>
    <row r="18" spans="2:8" ht="140.4" x14ac:dyDescent="0.3">
      <c r="B18" s="21" t="s">
        <v>66</v>
      </c>
      <c r="C18" s="21" t="s">
        <v>67</v>
      </c>
      <c r="D18" s="21" t="s">
        <v>119</v>
      </c>
      <c r="E18" s="21" t="s">
        <v>68</v>
      </c>
      <c r="F18" s="23" t="s">
        <v>80</v>
      </c>
    </row>
    <row r="19" spans="2:8" ht="31.2" x14ac:dyDescent="0.3">
      <c r="B19" s="21" t="s">
        <v>59</v>
      </c>
      <c r="C19" s="21" t="s">
        <v>60</v>
      </c>
      <c r="D19" s="21" t="s">
        <v>120</v>
      </c>
      <c r="E19" s="21" t="s">
        <v>39</v>
      </c>
      <c r="F19" s="27" t="s">
        <v>79</v>
      </c>
    </row>
    <row r="20" spans="2:8" ht="46.8" x14ac:dyDescent="0.3">
      <c r="B20" s="21" t="s">
        <v>71</v>
      </c>
      <c r="C20" s="21" t="s">
        <v>72</v>
      </c>
      <c r="D20" s="21" t="s">
        <v>7</v>
      </c>
      <c r="E20" s="21" t="s">
        <v>58</v>
      </c>
      <c r="F20" s="23" t="s">
        <v>82</v>
      </c>
      <c r="G20" s="24"/>
      <c r="H20" s="24"/>
    </row>
    <row r="21" spans="2:8" ht="46.8" x14ac:dyDescent="0.3">
      <c r="B21" s="21" t="s">
        <v>73</v>
      </c>
      <c r="C21" s="21" t="s">
        <v>74</v>
      </c>
      <c r="D21" s="21" t="s">
        <v>8</v>
      </c>
      <c r="E21" s="21" t="s">
        <v>58</v>
      </c>
      <c r="F21" s="23" t="s">
        <v>82</v>
      </c>
    </row>
  </sheetData>
  <hyperlinks>
    <hyperlink ref="F19" r:id="rId1" xr:uid="{F0CE7C56-A5A8-4B14-A195-FE6DF0D0EC17}"/>
    <hyperlink ref="F18" r:id="rId2" display="https://www.sciencebase.gov/catalog/item/5a4ea3bee4b0d05ee8c6647b" xr:uid="{33504265-5328-4285-9F75-805BE238F78C}"/>
    <hyperlink ref="F17" r:id="rId3" display="https://geohydro.kgs.ku.edu/geohydro/wimas/" xr:uid="{F8ED20E6-E171-413B-9A6C-098ECB88FF2D}"/>
    <hyperlink ref="F7" r:id="rId4" display="https://geohydro.kgs.ku.edu/geohydro/wimas/" xr:uid="{186D2BA7-0282-49D5-B821-8406CB351D97}"/>
    <hyperlink ref="F10" r:id="rId5" display="https://geohydro.kgs.ku.edu/geohydro/wimas/" xr:uid="{89A5199D-C033-4BDF-85B5-49545D1D5FCA}"/>
    <hyperlink ref="F9" r:id="rId6" display="https://geohydro.kgs.ku.edu/geohydro/wimas/" xr:uid="{A6CAF57A-35E5-4E42-8BF8-4439A020DC92}"/>
    <hyperlink ref="F13" r:id="rId7" display="https://geohydro.kgs.ku.edu/geohydro/wimas/" xr:uid="{5D93E0AA-FA08-4314-8415-9B57D8E63884}"/>
    <hyperlink ref="F12" r:id="rId8" display="https://geohydro.kgs.ku.edu/geohydro/wimas/" xr:uid="{62F0F444-B180-495A-B7FC-E0EABA339627}"/>
    <hyperlink ref="F11" r:id="rId9" display="https://geohydro.kgs.ku.edu/geohydro/wimas/" xr:uid="{F868E7BB-73CD-4CB7-A7C2-D7BADFC3AD51}"/>
    <hyperlink ref="F6" r:id="rId10" display="https://geohydro.kgs.ku.edu/geohydro/wimas/" xr:uid="{7360CDFA-B502-4AEC-8174-4EE5D3307C2A}"/>
    <hyperlink ref="F3" r:id="rId11" display="https://hub.kansasgis.org/datasets/463dffb49c3d4687bc66b416c27cd2d4_0/explore?location=38.397098%2C-98.319498%2C7.09" xr:uid="{34FD2E7E-2740-4F29-9912-69CA3072D2C0}"/>
    <hyperlink ref="F4" r:id="rId12" display="https://hub.kansasgis.org/datasets/KU::high-plains-aquifer/explore?layer=0&amp;location=38.430635%2C-99.690618%2C7.28" xr:uid="{7B865576-E479-49C3-806D-C5E09CF9107E}"/>
    <hyperlink ref="F8" r:id="rId13" display="https://geohydro.kgs.ku.edu/geohydro/wimas/" xr:uid="{931134D7-AE6F-4C3E-A6F6-23FE18B89E87}"/>
  </hyperlinks>
  <pageMargins left="0.7" right="0.7" top="0.75" bottom="0.75" header="0.3" footer="0.3"/>
  <pageSetup orientation="portrait"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38A8-0CE2-420C-9E53-5899111A7F68}">
  <dimension ref="B2:D6"/>
  <sheetViews>
    <sheetView workbookViewId="0">
      <selection activeCell="B1" sqref="B1:D7"/>
    </sheetView>
  </sheetViews>
  <sheetFormatPr defaultRowHeight="14.4" x14ac:dyDescent="0.3"/>
  <cols>
    <col min="2" max="2" width="16.44140625" customWidth="1"/>
    <col min="3" max="3" width="32.21875" customWidth="1"/>
    <col min="4" max="4" width="34.33203125" bestFit="1" customWidth="1"/>
  </cols>
  <sheetData>
    <row r="2" spans="2:4" ht="15.6" x14ac:dyDescent="0.3">
      <c r="B2" s="30" t="s">
        <v>85</v>
      </c>
      <c r="C2" s="30" t="s">
        <v>86</v>
      </c>
      <c r="D2" s="30" t="s">
        <v>95</v>
      </c>
    </row>
    <row r="3" spans="2:4" ht="62.4" x14ac:dyDescent="0.3">
      <c r="B3" s="19" t="s">
        <v>96</v>
      </c>
      <c r="C3" s="19" t="s">
        <v>87</v>
      </c>
      <c r="D3" s="19" t="s">
        <v>90</v>
      </c>
    </row>
    <row r="4" spans="2:4" ht="109.2" x14ac:dyDescent="0.3">
      <c r="B4" s="20" t="s">
        <v>15</v>
      </c>
      <c r="C4" s="19" t="s">
        <v>88</v>
      </c>
      <c r="D4" s="19" t="s">
        <v>89</v>
      </c>
    </row>
    <row r="5" spans="2:4" ht="78.599999999999994" customHeight="1" x14ac:dyDescent="0.3">
      <c r="B5" s="20" t="s">
        <v>16</v>
      </c>
      <c r="C5" s="19" t="s">
        <v>91</v>
      </c>
      <c r="D5" s="19" t="s">
        <v>97</v>
      </c>
    </row>
    <row r="6" spans="2:4" ht="62.4" x14ac:dyDescent="0.3">
      <c r="B6" s="28" t="s">
        <v>92</v>
      </c>
      <c r="C6" s="29" t="s">
        <v>93</v>
      </c>
      <c r="D6" s="29" t="s">
        <v>94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73AF-4709-4667-B874-5988909D2AA2}">
  <dimension ref="B1:X7"/>
  <sheetViews>
    <sheetView workbookViewId="0">
      <selection activeCell="B1" sqref="B1:L7"/>
    </sheetView>
  </sheetViews>
  <sheetFormatPr defaultRowHeight="14.4" x14ac:dyDescent="0.3"/>
  <cols>
    <col min="3" max="6" width="6.77734375" bestFit="1" customWidth="1"/>
    <col min="7" max="7" width="9.109375" customWidth="1"/>
    <col min="8" max="8" width="7.33203125" bestFit="1" customWidth="1"/>
    <col min="9" max="9" width="7.5546875" customWidth="1"/>
    <col min="10" max="10" width="6" customWidth="1"/>
    <col min="11" max="11" width="8.109375" customWidth="1"/>
    <col min="12" max="14" width="6.44140625" customWidth="1"/>
    <col min="15" max="15" width="9" customWidth="1"/>
    <col min="16" max="16" width="9.109375" customWidth="1"/>
    <col min="17" max="17" width="10.44140625" customWidth="1"/>
    <col min="18" max="18" width="7" customWidth="1"/>
    <col min="19" max="19" width="7.5546875" customWidth="1"/>
    <col min="20" max="20" width="7.33203125" customWidth="1"/>
    <col min="21" max="21" width="7.21875" customWidth="1"/>
    <col min="22" max="22" width="5.77734375" customWidth="1"/>
    <col min="23" max="23" width="6.77734375" bestFit="1" customWidth="1"/>
    <col min="24" max="24" width="6.88671875" customWidth="1"/>
  </cols>
  <sheetData>
    <row r="1" spans="2:24" ht="15.6" x14ac:dyDescent="0.3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2:24" ht="31.2" x14ac:dyDescent="0.3">
      <c r="B2" s="39"/>
      <c r="C2" s="40" t="s">
        <v>33</v>
      </c>
      <c r="D2" s="40" t="s">
        <v>36</v>
      </c>
      <c r="E2" s="40" t="s">
        <v>57</v>
      </c>
      <c r="F2" s="40" t="s">
        <v>2</v>
      </c>
      <c r="G2" s="40" t="s">
        <v>98</v>
      </c>
      <c r="H2" s="40" t="s">
        <v>99</v>
      </c>
      <c r="I2" s="40" t="s">
        <v>3</v>
      </c>
      <c r="J2" s="40" t="s">
        <v>9</v>
      </c>
      <c r="K2" s="40" t="s">
        <v>42</v>
      </c>
      <c r="L2" s="40" t="s">
        <v>100</v>
      </c>
      <c r="M2" s="33"/>
      <c r="N2" s="39"/>
      <c r="O2" s="40" t="s">
        <v>101</v>
      </c>
      <c r="P2" s="40" t="s">
        <v>102</v>
      </c>
      <c r="Q2" s="40" t="s">
        <v>103</v>
      </c>
      <c r="R2" s="40" t="s">
        <v>1</v>
      </c>
      <c r="S2" s="40" t="s">
        <v>65</v>
      </c>
      <c r="T2" s="40" t="s">
        <v>5</v>
      </c>
      <c r="U2" s="40" t="s">
        <v>6</v>
      </c>
      <c r="V2" s="40" t="s">
        <v>7</v>
      </c>
      <c r="W2" s="40" t="s">
        <v>8</v>
      </c>
      <c r="X2" s="40" t="s">
        <v>11</v>
      </c>
    </row>
    <row r="3" spans="2:24" ht="15.6" x14ac:dyDescent="0.3">
      <c r="B3" s="31" t="s">
        <v>104</v>
      </c>
      <c r="C3" s="35">
        <v>0.24</v>
      </c>
      <c r="D3" s="36">
        <v>0.38</v>
      </c>
      <c r="E3" s="35">
        <v>0.28000000000000003</v>
      </c>
      <c r="F3" s="36">
        <v>-0.18</v>
      </c>
      <c r="G3" s="35">
        <v>-0.12</v>
      </c>
      <c r="H3" s="35">
        <v>0.24</v>
      </c>
      <c r="I3" s="37">
        <v>-0.51</v>
      </c>
      <c r="J3" s="36">
        <v>-0.38</v>
      </c>
      <c r="K3" s="36">
        <v>0.04</v>
      </c>
      <c r="L3" s="35">
        <v>0.21</v>
      </c>
      <c r="M3" s="35"/>
      <c r="N3" s="31" t="s">
        <v>104</v>
      </c>
      <c r="O3" s="35">
        <v>-0.02</v>
      </c>
      <c r="P3" s="36">
        <v>0.18</v>
      </c>
      <c r="Q3" s="35">
        <v>0.16</v>
      </c>
      <c r="R3" s="35">
        <v>0.3</v>
      </c>
      <c r="S3" s="35">
        <v>0.18</v>
      </c>
      <c r="T3" s="35">
        <v>0.06</v>
      </c>
      <c r="U3" s="35">
        <v>-0.43</v>
      </c>
      <c r="V3" s="35">
        <v>-0.3</v>
      </c>
      <c r="W3" s="35">
        <v>0.18</v>
      </c>
      <c r="X3" s="35">
        <v>-0.25</v>
      </c>
    </row>
    <row r="4" spans="2:24" ht="15.6" x14ac:dyDescent="0.3">
      <c r="B4" s="31" t="s">
        <v>15</v>
      </c>
      <c r="C4" s="35">
        <v>0.04</v>
      </c>
      <c r="D4" s="36">
        <v>-0.22</v>
      </c>
      <c r="E4" s="35">
        <v>-0.21</v>
      </c>
      <c r="F4" s="36">
        <v>0.06</v>
      </c>
      <c r="G4" s="35">
        <v>0.27</v>
      </c>
      <c r="H4" s="35">
        <v>0.1</v>
      </c>
      <c r="I4" s="37">
        <v>0.51</v>
      </c>
      <c r="J4" s="36">
        <v>0.03</v>
      </c>
      <c r="K4" s="36">
        <v>-0.11</v>
      </c>
      <c r="L4" s="35">
        <v>7.0000000000000007E-2</v>
      </c>
      <c r="M4" s="35"/>
      <c r="N4" s="31" t="s">
        <v>15</v>
      </c>
      <c r="O4" s="35">
        <v>0</v>
      </c>
      <c r="P4" s="36">
        <v>0.08</v>
      </c>
      <c r="Q4" s="35">
        <v>0.1</v>
      </c>
      <c r="R4" s="35">
        <v>-0.02</v>
      </c>
      <c r="S4" s="35">
        <v>-0.36</v>
      </c>
      <c r="T4" s="35">
        <v>-0.09</v>
      </c>
      <c r="U4" s="35">
        <v>0.21</v>
      </c>
      <c r="V4" s="35">
        <v>0.16</v>
      </c>
      <c r="W4" s="35">
        <v>0.17</v>
      </c>
      <c r="X4" s="37">
        <v>-0.65</v>
      </c>
    </row>
    <row r="5" spans="2:24" ht="15.6" x14ac:dyDescent="0.3">
      <c r="B5" s="31" t="s">
        <v>16</v>
      </c>
      <c r="C5" s="35">
        <v>0.39</v>
      </c>
      <c r="D5" s="36">
        <v>0</v>
      </c>
      <c r="E5" s="35">
        <v>0.35</v>
      </c>
      <c r="F5" s="36">
        <v>-0.36</v>
      </c>
      <c r="G5" s="35">
        <v>0.18</v>
      </c>
      <c r="H5" s="35">
        <v>0.3</v>
      </c>
      <c r="I5" s="35">
        <v>7.0000000000000007E-2</v>
      </c>
      <c r="J5" s="36">
        <v>-0.06</v>
      </c>
      <c r="K5" s="38">
        <v>0.51</v>
      </c>
      <c r="L5" s="35">
        <v>-0.17</v>
      </c>
      <c r="M5" s="35"/>
      <c r="N5" s="31" t="s">
        <v>16</v>
      </c>
      <c r="O5" s="35">
        <v>-0.27</v>
      </c>
      <c r="P5" s="36">
        <v>-0.14000000000000001</v>
      </c>
      <c r="Q5" s="35">
        <v>7.0000000000000007E-2</v>
      </c>
      <c r="R5" s="35">
        <v>-0.08</v>
      </c>
      <c r="S5" s="35">
        <v>-0.18</v>
      </c>
      <c r="T5" s="35">
        <v>0.03</v>
      </c>
      <c r="U5" s="35">
        <v>-0.41</v>
      </c>
      <c r="V5" s="35">
        <v>-0.3</v>
      </c>
      <c r="W5" s="35">
        <v>-0.17</v>
      </c>
      <c r="X5" s="35">
        <v>0.03</v>
      </c>
    </row>
    <row r="6" spans="2:24" ht="15.6" x14ac:dyDescent="0.3">
      <c r="B6" s="31" t="s">
        <v>10</v>
      </c>
      <c r="C6" s="35">
        <v>-0.08</v>
      </c>
      <c r="D6" s="38">
        <v>-0.59</v>
      </c>
      <c r="E6" s="35">
        <v>-0.09</v>
      </c>
      <c r="F6" s="38">
        <v>0.94</v>
      </c>
      <c r="G6" s="37">
        <v>-0.8</v>
      </c>
      <c r="H6" s="37">
        <v>-0.83</v>
      </c>
      <c r="I6" s="35">
        <v>0.42</v>
      </c>
      <c r="J6" s="38">
        <v>0.55000000000000004</v>
      </c>
      <c r="K6" s="36">
        <v>0.47</v>
      </c>
      <c r="L6" s="35">
        <v>-0.38</v>
      </c>
      <c r="M6" s="35"/>
      <c r="N6" s="31" t="s">
        <v>10</v>
      </c>
      <c r="O6" s="37">
        <v>0.81</v>
      </c>
      <c r="P6" s="38">
        <v>0.53</v>
      </c>
      <c r="Q6" s="37">
        <v>0.54</v>
      </c>
      <c r="R6" s="37">
        <v>-0.67</v>
      </c>
      <c r="S6" s="35">
        <v>0.32</v>
      </c>
      <c r="T6" s="35">
        <v>-0.42</v>
      </c>
      <c r="U6" s="37">
        <v>0.81</v>
      </c>
      <c r="V6" s="35">
        <v>0.26</v>
      </c>
      <c r="W6" s="35">
        <v>0.08</v>
      </c>
      <c r="X6" s="35">
        <v>0.06</v>
      </c>
    </row>
    <row r="7" spans="2:24" ht="15.6" x14ac:dyDescent="0.3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2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DDBF-E6CB-4FC6-BF0F-DC4B04BC08F3}">
  <dimension ref="B3:F25"/>
  <sheetViews>
    <sheetView topLeftCell="A24" workbookViewId="0">
      <selection activeCell="B3" sqref="B3:F25"/>
    </sheetView>
  </sheetViews>
  <sheetFormatPr defaultRowHeight="14.4" x14ac:dyDescent="0.3"/>
  <sheetData>
    <row r="3" spans="2:6" ht="15.6" x14ac:dyDescent="0.3">
      <c r="B3" s="41"/>
      <c r="C3" s="41"/>
      <c r="D3" s="41"/>
      <c r="E3" s="41"/>
      <c r="F3" s="41"/>
    </row>
    <row r="4" spans="2:6" ht="78" x14ac:dyDescent="0.3">
      <c r="B4" s="42" t="s">
        <v>105</v>
      </c>
      <c r="C4" s="42" t="s">
        <v>29</v>
      </c>
      <c r="D4" s="42" t="s">
        <v>30</v>
      </c>
      <c r="E4" s="42" t="s">
        <v>31</v>
      </c>
      <c r="F4" s="42" t="s">
        <v>78</v>
      </c>
    </row>
    <row r="5" spans="2:6" ht="109.2" x14ac:dyDescent="0.3">
      <c r="B5" s="43" t="s">
        <v>32</v>
      </c>
      <c r="C5" s="44"/>
      <c r="D5" s="43" t="s">
        <v>33</v>
      </c>
      <c r="E5" s="43" t="s">
        <v>34</v>
      </c>
      <c r="F5" s="45" t="s">
        <v>83</v>
      </c>
    </row>
    <row r="6" spans="2:6" ht="109.2" x14ac:dyDescent="0.3">
      <c r="B6" s="46" t="s">
        <v>106</v>
      </c>
      <c r="C6" s="47"/>
      <c r="D6" s="46" t="s">
        <v>36</v>
      </c>
      <c r="E6" s="46" t="s">
        <v>34</v>
      </c>
      <c r="F6" s="48" t="s">
        <v>84</v>
      </c>
    </row>
    <row r="7" spans="2:6" ht="109.2" x14ac:dyDescent="0.3">
      <c r="B7" s="46" t="s">
        <v>37</v>
      </c>
      <c r="C7" s="47"/>
      <c r="D7" s="46" t="s">
        <v>38</v>
      </c>
      <c r="E7" s="46" t="s">
        <v>39</v>
      </c>
      <c r="F7" s="48" t="s">
        <v>81</v>
      </c>
    </row>
    <row r="8" spans="2:6" ht="140.4" x14ac:dyDescent="0.3">
      <c r="B8" s="46" t="s">
        <v>40</v>
      </c>
      <c r="C8" s="46" t="s">
        <v>107</v>
      </c>
      <c r="D8" s="46" t="s">
        <v>42</v>
      </c>
      <c r="E8" s="46" t="s">
        <v>39</v>
      </c>
      <c r="F8" s="48" t="s">
        <v>81</v>
      </c>
    </row>
    <row r="9" spans="2:6" ht="124.8" x14ac:dyDescent="0.3">
      <c r="B9" s="46" t="s">
        <v>43</v>
      </c>
      <c r="C9" s="46" t="s">
        <v>44</v>
      </c>
      <c r="D9" s="46" t="s">
        <v>45</v>
      </c>
      <c r="E9" s="46" t="s">
        <v>39</v>
      </c>
      <c r="F9" s="48" t="s">
        <v>81</v>
      </c>
    </row>
    <row r="10" spans="2:6" ht="124.8" x14ac:dyDescent="0.3">
      <c r="B10" s="46" t="s">
        <v>46</v>
      </c>
      <c r="C10" s="47"/>
      <c r="D10" s="46" t="s">
        <v>47</v>
      </c>
      <c r="E10" s="46" t="s">
        <v>48</v>
      </c>
      <c r="F10" s="46" t="s">
        <v>82</v>
      </c>
    </row>
    <row r="11" spans="2:6" ht="124.8" x14ac:dyDescent="0.3">
      <c r="B11" s="46" t="s">
        <v>49</v>
      </c>
      <c r="C11" s="47"/>
      <c r="D11" s="46" t="s">
        <v>50</v>
      </c>
      <c r="E11" s="46" t="s">
        <v>48</v>
      </c>
      <c r="F11" s="46" t="s">
        <v>82</v>
      </c>
    </row>
    <row r="12" spans="2:6" ht="171.6" x14ac:dyDescent="0.3">
      <c r="B12" s="46" t="s">
        <v>108</v>
      </c>
      <c r="C12" s="46" t="s">
        <v>52</v>
      </c>
      <c r="D12" s="46" t="s">
        <v>53</v>
      </c>
      <c r="E12" s="46" t="s">
        <v>39</v>
      </c>
      <c r="F12" s="48" t="s">
        <v>81</v>
      </c>
    </row>
    <row r="13" spans="2:6" ht="124.8" x14ac:dyDescent="0.3">
      <c r="B13" s="46" t="s">
        <v>109</v>
      </c>
      <c r="C13" s="47"/>
      <c r="D13" s="46" t="s">
        <v>55</v>
      </c>
      <c r="E13" s="46" t="s">
        <v>48</v>
      </c>
      <c r="F13" s="46" t="s">
        <v>82</v>
      </c>
    </row>
    <row r="14" spans="2:6" ht="93.6" x14ac:dyDescent="0.3">
      <c r="B14" s="46" t="s">
        <v>110</v>
      </c>
      <c r="C14" s="47"/>
      <c r="D14" s="46" t="s">
        <v>57</v>
      </c>
      <c r="E14" s="46" t="s">
        <v>58</v>
      </c>
      <c r="F14" s="47"/>
    </row>
    <row r="15" spans="2:6" ht="72" x14ac:dyDescent="0.3">
      <c r="B15" s="46" t="s">
        <v>59</v>
      </c>
      <c r="C15" s="46" t="s">
        <v>60</v>
      </c>
      <c r="D15" s="46" t="s">
        <v>1</v>
      </c>
      <c r="E15" s="46" t="s">
        <v>39</v>
      </c>
      <c r="F15" s="48" t="s">
        <v>79</v>
      </c>
    </row>
    <row r="16" spans="2:6" ht="86.4" x14ac:dyDescent="0.3">
      <c r="B16" s="46" t="s">
        <v>61</v>
      </c>
      <c r="C16" s="47"/>
      <c r="D16" s="46" t="s">
        <v>2</v>
      </c>
      <c r="E16" s="46" t="s">
        <v>39</v>
      </c>
      <c r="F16" s="48" t="s">
        <v>81</v>
      </c>
    </row>
    <row r="17" spans="2:6" ht="86.4" x14ac:dyDescent="0.3">
      <c r="B17" s="46" t="s">
        <v>62</v>
      </c>
      <c r="C17" s="47"/>
      <c r="D17" s="46" t="s">
        <v>3</v>
      </c>
      <c r="E17" s="46" t="s">
        <v>39</v>
      </c>
      <c r="F17" s="48" t="s">
        <v>81</v>
      </c>
    </row>
    <row r="18" spans="2:6" ht="86.4" x14ac:dyDescent="0.3">
      <c r="B18" s="46" t="s">
        <v>111</v>
      </c>
      <c r="C18" s="46" t="s">
        <v>64</v>
      </c>
      <c r="D18" s="46" t="s">
        <v>65</v>
      </c>
      <c r="E18" s="46" t="s">
        <v>39</v>
      </c>
      <c r="F18" s="48" t="s">
        <v>81</v>
      </c>
    </row>
    <row r="19" spans="2:6" ht="302.39999999999998" x14ac:dyDescent="0.3">
      <c r="B19" s="46" t="s">
        <v>112</v>
      </c>
      <c r="C19" s="46" t="s">
        <v>67</v>
      </c>
      <c r="D19" s="46" t="s">
        <v>5</v>
      </c>
      <c r="E19" s="46" t="s">
        <v>68</v>
      </c>
      <c r="F19" s="48" t="s">
        <v>80</v>
      </c>
    </row>
    <row r="20" spans="2:6" ht="124.8" x14ac:dyDescent="0.3">
      <c r="B20" s="46" t="s">
        <v>69</v>
      </c>
      <c r="C20" s="46" t="s">
        <v>70</v>
      </c>
      <c r="D20" s="46" t="s">
        <v>6</v>
      </c>
      <c r="E20" s="46" t="s">
        <v>39</v>
      </c>
      <c r="F20" s="48" t="s">
        <v>81</v>
      </c>
    </row>
    <row r="21" spans="2:6" ht="124.8" x14ac:dyDescent="0.3">
      <c r="B21" s="46" t="s">
        <v>71</v>
      </c>
      <c r="C21" s="46" t="s">
        <v>72</v>
      </c>
      <c r="D21" s="46" t="s">
        <v>7</v>
      </c>
      <c r="E21" s="46" t="s">
        <v>58</v>
      </c>
      <c r="F21" s="46" t="s">
        <v>82</v>
      </c>
    </row>
    <row r="22" spans="2:6" ht="124.8" x14ac:dyDescent="0.3">
      <c r="B22" s="46" t="s">
        <v>73</v>
      </c>
      <c r="C22" s="46" t="s">
        <v>74</v>
      </c>
      <c r="D22" s="46" t="s">
        <v>8</v>
      </c>
      <c r="E22" s="46" t="s">
        <v>58</v>
      </c>
      <c r="F22" s="46" t="s">
        <v>82</v>
      </c>
    </row>
    <row r="23" spans="2:6" ht="124.8" x14ac:dyDescent="0.3">
      <c r="B23" s="46" t="s">
        <v>75</v>
      </c>
      <c r="C23" s="46" t="s">
        <v>113</v>
      </c>
      <c r="D23" s="46" t="s">
        <v>9</v>
      </c>
      <c r="E23" s="46" t="s">
        <v>39</v>
      </c>
      <c r="F23" s="48" t="s">
        <v>81</v>
      </c>
    </row>
    <row r="24" spans="2:6" ht="86.4" x14ac:dyDescent="0.3">
      <c r="B24" s="41" t="s">
        <v>77</v>
      </c>
      <c r="C24" s="41"/>
      <c r="D24" s="41" t="s">
        <v>11</v>
      </c>
      <c r="E24" s="41" t="s">
        <v>39</v>
      </c>
      <c r="F24" s="49" t="s">
        <v>81</v>
      </c>
    </row>
    <row r="25" spans="2:6" x14ac:dyDescent="0.3">
      <c r="B25" s="50"/>
      <c r="C25" s="50"/>
      <c r="D25" s="50"/>
      <c r="E25" s="50"/>
      <c r="F25" s="50"/>
    </row>
  </sheetData>
  <hyperlinks>
    <hyperlink ref="F5" r:id="rId1" display="https://hub.kansasgis.org/datasets/KU::high-plains-aquifer/explore?layer=0&amp;location=38.430635%2C-99.690618%2C7.28" xr:uid="{D9F7BD84-31F3-4386-B60E-896492340DD9}"/>
    <hyperlink ref="F6" r:id="rId2" display="https://hub.kansasgis.org/datasets/463dffb49c3d4687bc66b416c27cd2d4_0/explore?location=38.397098%2C-98.319498%2C7.09" xr:uid="{5C87F749-0634-44EC-8566-A801C2A5EE7B}"/>
    <hyperlink ref="F7" r:id="rId3" display="https://geohydro.kgs.ku.edu/geohydro/wimas/" xr:uid="{83954924-05B4-48EE-B58D-33768D75994E}"/>
    <hyperlink ref="F8" r:id="rId4" display="https://geohydro.kgs.ku.edu/geohydro/wimas/" xr:uid="{5210312A-C957-466C-A40C-C4F7D8337A48}"/>
    <hyperlink ref="F9" r:id="rId5" display="https://geohydro.kgs.ku.edu/geohydro/wimas/" xr:uid="{929BF449-61DA-4FD1-99E0-3CF0D0F36823}"/>
    <hyperlink ref="F12" r:id="rId6" display="https://geohydro.kgs.ku.edu/geohydro/wimas/" xr:uid="{18FCE515-8925-4E56-8B55-CF6308D339C5}"/>
    <hyperlink ref="F15" r:id="rId7" xr:uid="{34063DCF-8805-4992-975C-7D47FE2EE33E}"/>
    <hyperlink ref="F16" r:id="rId8" display="https://geohydro.kgs.ku.edu/geohydro/wimas/" xr:uid="{8433997A-B97B-4C76-92C5-C341B51BB29C}"/>
    <hyperlink ref="F17" r:id="rId9" display="https://geohydro.kgs.ku.edu/geohydro/wimas/" xr:uid="{049E534C-06EA-4D32-B126-B84FD1E7B0C2}"/>
    <hyperlink ref="F18" r:id="rId10" display="https://geohydro.kgs.ku.edu/geohydro/wimas/" xr:uid="{33E0DA14-8B87-43B5-8724-3970CC4E7998}"/>
    <hyperlink ref="F19" r:id="rId11" display="https://www.sciencebase.gov/catalog/item/5a4ea3bee4b0d05ee8c6647b" xr:uid="{4A9D3003-2ACB-4A79-9803-BA21CB023CE4}"/>
    <hyperlink ref="F20" r:id="rId12" display="https://geohydro.kgs.ku.edu/geohydro/wimas/" xr:uid="{27E44FCB-9F7D-4E2F-80E2-5A7C0942D020}"/>
    <hyperlink ref="F23" r:id="rId13" display="https://geohydro.kgs.ku.edu/geohydro/wimas/" xr:uid="{F321EC7A-735E-4E5F-BC94-36CCD4465B46}"/>
    <hyperlink ref="F24" r:id="rId14" display="https://geohydro.kgs.ku.edu/geohydro/wimas/" xr:uid="{69967B03-1CAE-4C23-B241-E2A63797A95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7A81-785E-4092-9E2B-81457AFA1FA0}">
  <dimension ref="A1:D21"/>
  <sheetViews>
    <sheetView tabSelected="1" zoomScaleNormal="100" workbookViewId="0">
      <selection activeCell="B15" sqref="B15"/>
    </sheetView>
  </sheetViews>
  <sheetFormatPr defaultRowHeight="14.4" x14ac:dyDescent="0.3"/>
  <sheetData>
    <row r="1" spans="1:4" x14ac:dyDescent="0.3">
      <c r="A1" t="s">
        <v>125</v>
      </c>
      <c r="B1" t="s">
        <v>146</v>
      </c>
      <c r="C1" t="s">
        <v>147</v>
      </c>
      <c r="D1" t="s">
        <v>104</v>
      </c>
    </row>
    <row r="2" spans="1:4" x14ac:dyDescent="0.3">
      <c r="A2" t="s">
        <v>126</v>
      </c>
      <c r="B2">
        <v>29</v>
      </c>
      <c r="C2">
        <v>434</v>
      </c>
      <c r="D2">
        <v>0.69</v>
      </c>
    </row>
    <row r="3" spans="1:4" x14ac:dyDescent="0.3">
      <c r="A3" t="s">
        <v>127</v>
      </c>
      <c r="B3">
        <v>34</v>
      </c>
      <c r="C3">
        <v>415</v>
      </c>
      <c r="D3">
        <v>0.76</v>
      </c>
    </row>
    <row r="4" spans="1:4" x14ac:dyDescent="0.3">
      <c r="A4" t="s">
        <v>128</v>
      </c>
      <c r="B4">
        <v>27</v>
      </c>
      <c r="C4">
        <v>432</v>
      </c>
      <c r="D4">
        <v>0.83</v>
      </c>
    </row>
    <row r="5" spans="1:4" x14ac:dyDescent="0.3">
      <c r="A5" t="s">
        <v>129</v>
      </c>
      <c r="B5">
        <v>32</v>
      </c>
      <c r="C5">
        <v>350</v>
      </c>
      <c r="D5">
        <v>0.37</v>
      </c>
    </row>
    <row r="6" spans="1:4" x14ac:dyDescent="0.3">
      <c r="A6" t="s">
        <v>130</v>
      </c>
      <c r="B6">
        <v>35</v>
      </c>
      <c r="C6">
        <v>364</v>
      </c>
      <c r="D6">
        <v>0.64</v>
      </c>
    </row>
    <row r="7" spans="1:4" x14ac:dyDescent="0.3">
      <c r="A7" t="s">
        <v>131</v>
      </c>
      <c r="B7">
        <v>21</v>
      </c>
      <c r="C7">
        <v>361</v>
      </c>
      <c r="D7">
        <v>0.45</v>
      </c>
    </row>
    <row r="8" spans="1:4" x14ac:dyDescent="0.3">
      <c r="A8" t="s">
        <v>132</v>
      </c>
      <c r="B8">
        <v>25</v>
      </c>
      <c r="C8">
        <v>388</v>
      </c>
      <c r="D8">
        <v>0.49</v>
      </c>
    </row>
    <row r="9" spans="1:4" x14ac:dyDescent="0.3">
      <c r="A9" t="s">
        <v>133</v>
      </c>
      <c r="B9">
        <v>27</v>
      </c>
      <c r="C9">
        <v>351</v>
      </c>
      <c r="D9">
        <v>0.5</v>
      </c>
    </row>
    <row r="10" spans="1:4" x14ac:dyDescent="0.3">
      <c r="A10" t="s">
        <v>134</v>
      </c>
      <c r="B10">
        <v>83</v>
      </c>
      <c r="C10">
        <v>333</v>
      </c>
      <c r="D10">
        <v>0.52</v>
      </c>
    </row>
    <row r="11" spans="1:4" x14ac:dyDescent="0.3">
      <c r="A11" t="s">
        <v>135</v>
      </c>
      <c r="B11">
        <v>54</v>
      </c>
      <c r="C11">
        <v>337</v>
      </c>
      <c r="D11">
        <v>0.89</v>
      </c>
    </row>
    <row r="12" spans="1:4" x14ac:dyDescent="0.3">
      <c r="A12" t="s">
        <v>136</v>
      </c>
      <c r="B12">
        <v>33</v>
      </c>
      <c r="C12">
        <v>361</v>
      </c>
      <c r="D12">
        <v>0.79</v>
      </c>
    </row>
    <row r="13" spans="1:4" x14ac:dyDescent="0.3">
      <c r="A13" t="s">
        <v>137</v>
      </c>
      <c r="B13">
        <v>55</v>
      </c>
      <c r="C13">
        <v>340</v>
      </c>
      <c r="D13">
        <v>0.71</v>
      </c>
    </row>
    <row r="14" spans="1:4" x14ac:dyDescent="0.3">
      <c r="A14" t="s">
        <v>138</v>
      </c>
      <c r="B14">
        <v>344</v>
      </c>
      <c r="C14">
        <v>302</v>
      </c>
      <c r="D14">
        <v>0.63</v>
      </c>
    </row>
    <row r="15" spans="1:4" x14ac:dyDescent="0.3">
      <c r="A15" t="s">
        <v>139</v>
      </c>
      <c r="B15">
        <v>110</v>
      </c>
      <c r="C15">
        <v>335</v>
      </c>
      <c r="D15">
        <v>0.77</v>
      </c>
    </row>
    <row r="16" spans="1:4" x14ac:dyDescent="0.3">
      <c r="A16" t="s">
        <v>140</v>
      </c>
      <c r="B16">
        <v>71</v>
      </c>
      <c r="C16">
        <v>409</v>
      </c>
      <c r="D16">
        <v>0.8</v>
      </c>
    </row>
    <row r="17" spans="1:4" x14ac:dyDescent="0.3">
      <c r="A17" t="s">
        <v>141</v>
      </c>
      <c r="B17">
        <v>35</v>
      </c>
      <c r="C17">
        <v>455</v>
      </c>
      <c r="D17">
        <v>0.75</v>
      </c>
    </row>
    <row r="18" spans="1:4" x14ac:dyDescent="0.3">
      <c r="A18" t="s">
        <v>142</v>
      </c>
      <c r="B18">
        <v>30</v>
      </c>
      <c r="C18">
        <v>408</v>
      </c>
      <c r="D18">
        <v>0.41</v>
      </c>
    </row>
    <row r="19" spans="1:4" x14ac:dyDescent="0.3">
      <c r="A19" t="s">
        <v>143</v>
      </c>
      <c r="B19">
        <v>59</v>
      </c>
      <c r="C19">
        <v>290</v>
      </c>
      <c r="D19">
        <v>0.65</v>
      </c>
    </row>
    <row r="20" spans="1:4" x14ac:dyDescent="0.3">
      <c r="A20" t="s">
        <v>144</v>
      </c>
      <c r="B20">
        <v>19</v>
      </c>
      <c r="C20">
        <v>284</v>
      </c>
      <c r="D20">
        <v>0.65</v>
      </c>
    </row>
    <row r="21" spans="1:4" x14ac:dyDescent="0.3">
      <c r="A21" t="s">
        <v>145</v>
      </c>
      <c r="B21">
        <v>36</v>
      </c>
      <c r="C21">
        <v>295</v>
      </c>
      <c r="D21">
        <v>0.84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4CDE-1CC7-4D57-8DF5-7E7B911A023E}">
  <dimension ref="A1:E21"/>
  <sheetViews>
    <sheetView workbookViewId="0">
      <selection activeCell="H7" sqref="H7"/>
    </sheetView>
  </sheetViews>
  <sheetFormatPr defaultRowHeight="14.4" x14ac:dyDescent="0.3"/>
  <cols>
    <col min="2" max="2" width="13.5546875" bestFit="1" customWidth="1"/>
    <col min="3" max="3" width="15.109375" bestFit="1" customWidth="1"/>
  </cols>
  <sheetData>
    <row r="1" spans="1:5" x14ac:dyDescent="0.3">
      <c r="A1" t="s">
        <v>125</v>
      </c>
      <c r="B1" t="s">
        <v>152</v>
      </c>
      <c r="C1" t="s">
        <v>153</v>
      </c>
    </row>
    <row r="2" spans="1:5" x14ac:dyDescent="0.3">
      <c r="A2" t="s">
        <v>126</v>
      </c>
      <c r="B2">
        <v>0.69</v>
      </c>
      <c r="C2" s="52">
        <v>0.46</v>
      </c>
      <c r="D2" t="s">
        <v>148</v>
      </c>
    </row>
    <row r="3" spans="1:5" x14ac:dyDescent="0.3">
      <c r="A3" t="s">
        <v>127</v>
      </c>
      <c r="B3">
        <v>0.76</v>
      </c>
      <c r="C3" s="52">
        <v>0.52</v>
      </c>
      <c r="D3" t="s">
        <v>148</v>
      </c>
      <c r="E3">
        <v>3</v>
      </c>
    </row>
    <row r="4" spans="1:5" x14ac:dyDescent="0.3">
      <c r="A4" t="s">
        <v>128</v>
      </c>
      <c r="B4">
        <v>0.83</v>
      </c>
      <c r="C4" s="52">
        <v>0.44</v>
      </c>
      <c r="D4" t="s">
        <v>148</v>
      </c>
    </row>
    <row r="5" spans="1:5" x14ac:dyDescent="0.3">
      <c r="A5" t="s">
        <v>129</v>
      </c>
      <c r="B5">
        <v>0.37</v>
      </c>
      <c r="C5" s="52">
        <v>0.26</v>
      </c>
      <c r="D5" t="s">
        <v>148</v>
      </c>
    </row>
    <row r="6" spans="1:5" x14ac:dyDescent="0.3">
      <c r="A6" t="s">
        <v>130</v>
      </c>
      <c r="B6">
        <v>0.64</v>
      </c>
      <c r="C6">
        <v>0.64</v>
      </c>
      <c r="D6" t="s">
        <v>149</v>
      </c>
    </row>
    <row r="7" spans="1:5" x14ac:dyDescent="0.3">
      <c r="A7" t="s">
        <v>131</v>
      </c>
      <c r="B7">
        <v>0.45</v>
      </c>
      <c r="C7" s="52">
        <v>0.4</v>
      </c>
      <c r="D7" t="s">
        <v>148</v>
      </c>
    </row>
    <row r="8" spans="1:5" x14ac:dyDescent="0.3">
      <c r="A8" t="s">
        <v>132</v>
      </c>
      <c r="B8">
        <v>0.49</v>
      </c>
      <c r="C8" s="52">
        <v>0.37</v>
      </c>
      <c r="D8" t="s">
        <v>148</v>
      </c>
    </row>
    <row r="9" spans="1:5" x14ac:dyDescent="0.3">
      <c r="A9" t="s">
        <v>133</v>
      </c>
      <c r="B9">
        <v>0.5</v>
      </c>
      <c r="C9" s="52">
        <v>0.25</v>
      </c>
      <c r="D9" t="s">
        <v>148</v>
      </c>
    </row>
    <row r="10" spans="1:5" x14ac:dyDescent="0.3">
      <c r="A10" t="s">
        <v>134</v>
      </c>
      <c r="B10">
        <v>0.52</v>
      </c>
      <c r="C10">
        <v>0.53</v>
      </c>
      <c r="D10" t="s">
        <v>149</v>
      </c>
    </row>
    <row r="11" spans="1:5" x14ac:dyDescent="0.3">
      <c r="A11" t="s">
        <v>135</v>
      </c>
      <c r="B11">
        <v>0.89</v>
      </c>
      <c r="C11" s="52">
        <v>0.41</v>
      </c>
      <c r="D11" t="s">
        <v>148</v>
      </c>
    </row>
    <row r="12" spans="1:5" x14ac:dyDescent="0.3">
      <c r="A12" t="s">
        <v>136</v>
      </c>
      <c r="B12">
        <v>0.79</v>
      </c>
      <c r="C12" s="52">
        <v>0.37</v>
      </c>
      <c r="D12" t="s">
        <v>148</v>
      </c>
    </row>
    <row r="13" spans="1:5" x14ac:dyDescent="0.3">
      <c r="A13" t="s">
        <v>137</v>
      </c>
      <c r="B13">
        <v>0.71</v>
      </c>
      <c r="C13">
        <v>0.62</v>
      </c>
      <c r="D13" t="s">
        <v>149</v>
      </c>
      <c r="E13" s="51" t="s">
        <v>151</v>
      </c>
    </row>
    <row r="14" spans="1:5" x14ac:dyDescent="0.3">
      <c r="A14" t="s">
        <v>138</v>
      </c>
      <c r="B14">
        <v>0.63</v>
      </c>
      <c r="C14">
        <v>0.54</v>
      </c>
      <c r="D14" t="s">
        <v>149</v>
      </c>
    </row>
    <row r="15" spans="1:5" x14ac:dyDescent="0.3">
      <c r="A15" t="s">
        <v>139</v>
      </c>
      <c r="B15">
        <v>0.77</v>
      </c>
      <c r="C15">
        <v>0.69</v>
      </c>
      <c r="D15" t="s">
        <v>149</v>
      </c>
    </row>
    <row r="16" spans="1:5" x14ac:dyDescent="0.3">
      <c r="A16" t="s">
        <v>140</v>
      </c>
      <c r="B16">
        <v>0.8</v>
      </c>
      <c r="C16" s="52">
        <v>0.45</v>
      </c>
      <c r="D16" t="s">
        <v>148</v>
      </c>
    </row>
    <row r="17" spans="1:5" x14ac:dyDescent="0.3">
      <c r="A17" t="s">
        <v>141</v>
      </c>
      <c r="B17">
        <v>0.75</v>
      </c>
      <c r="C17" s="52">
        <v>0.56999999999999995</v>
      </c>
      <c r="D17" t="s">
        <v>148</v>
      </c>
      <c r="E17">
        <v>3</v>
      </c>
    </row>
    <row r="18" spans="1:5" x14ac:dyDescent="0.3">
      <c r="A18" t="s">
        <v>142</v>
      </c>
      <c r="B18">
        <v>0.41</v>
      </c>
      <c r="C18" s="52">
        <v>0.49</v>
      </c>
      <c r="D18" t="s">
        <v>148</v>
      </c>
    </row>
    <row r="19" spans="1:5" x14ac:dyDescent="0.3">
      <c r="A19" t="s">
        <v>143</v>
      </c>
      <c r="B19">
        <v>0.65</v>
      </c>
      <c r="C19">
        <v>0.65</v>
      </c>
      <c r="D19" t="s">
        <v>149</v>
      </c>
    </row>
    <row r="20" spans="1:5" x14ac:dyDescent="0.3">
      <c r="A20" t="s">
        <v>144</v>
      </c>
      <c r="B20">
        <v>0.65</v>
      </c>
      <c r="C20">
        <v>0.78</v>
      </c>
      <c r="D20" t="s">
        <v>149</v>
      </c>
    </row>
    <row r="21" spans="1:5" x14ac:dyDescent="0.3">
      <c r="A21" t="s">
        <v>145</v>
      </c>
      <c r="B21">
        <v>0.84</v>
      </c>
      <c r="C21">
        <v>0.75</v>
      </c>
      <c r="D21" t="s">
        <v>149</v>
      </c>
      <c r="E21" s="5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Bosompemaa, Patience</dc:creator>
  <cp:lastModifiedBy>Bosompemaa, Patience</cp:lastModifiedBy>
  <dcterms:created xsi:type="dcterms:W3CDTF">2024-10-29T01:28:14Z</dcterms:created>
  <dcterms:modified xsi:type="dcterms:W3CDTF">2025-06-22T05:37:58Z</dcterms:modified>
</cp:coreProperties>
</file>